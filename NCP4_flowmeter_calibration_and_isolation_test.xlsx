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76d1d276e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T201_Calibration" sheetId="1" r:id="Rabf03cb11fe343a5"/>
    <x:sheet xmlns:r="http://schemas.openxmlformats.org/officeDocument/2006/relationships" name="Isolation_Test" sheetId="2" r:id="Rdb4657e82aad4aa6"/>
    <x:sheet xmlns:r="http://schemas.openxmlformats.org/officeDocument/2006/relationships" name="Derived_Loss_Components" sheetId="3" r:id="Rfd9207dce4f34c0d"/>
    <x:sheet xmlns:r="http://schemas.openxmlformats.org/officeDocument/2006/relationships" name="Power_Tag_Crosscheck" sheetId="4" r:id="Rf18ecef7a4bc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9cbe8edcb4c9a" /><Relationship Type="http://schemas.openxmlformats.org/officeDocument/2006/relationships/theme" Target="/xl/theme/theme1.xml" Id="Rf1ade4f30b8646f8" /><Relationship Type="http://schemas.openxmlformats.org/officeDocument/2006/relationships/sharedStrings" Target="/xl/sharedStrings.xml" Id="R535a910427274c94" /><Relationship Type="http://schemas.openxmlformats.org/officeDocument/2006/relationships/worksheet" Target="/xl/worksheets/sheet1.xml" Id="Rabf03cb11fe343a5" /><Relationship Type="http://schemas.openxmlformats.org/officeDocument/2006/relationships/worksheet" Target="/xl/worksheets/sheet2.xml" Id="Rdb4657e82aad4aa6" /><Relationship Type="http://schemas.openxmlformats.org/officeDocument/2006/relationships/worksheet" Target="/xl/worksheets/sheet3.xml" Id="Rfd9207dce4f34c0d" /><Relationship Type="http://schemas.openxmlformats.org/officeDocument/2006/relationships/worksheet" Target="/xl/worksheets/sheet4.xml" Id="Rf18ecef7a4bc4230" /></Relationships>
</file>

<file path=xl/tables/table1.xml><?xml version="1.0" encoding="utf-8"?>
<x:table xmlns:x="http://schemas.openxmlformats.org/spreadsheetml/2006/main" id="1" name="FT201CalibrationTable" displayName="FT201CalibrationTable" ref="A1:D5" headerRowCount="1">
  <x:tableColumns count="4">
    <x:tableColumn id="1" name="parameter"/>
    <x:tableColumn id="2" name="as_found_or_verified_value"/>
    <x:tableColumn id="3" name="unit"/>
    <x:tableColumn id="4" name="source_or_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IsolationTestTable" displayName="IsolationTestTable" ref="A1:F4" headerRowCount="1">
  <x:tableColumns count="6">
    <x:tableColumn id="1" name="test_id"/>
    <x:tableColumn id="2" name="test_condition"/>
    <x:tableColumn id="3" name="FT201_hist_nm3_h"/>
    <x:tableColumn id="4" name="correction_factor"/>
    <x:tableColumn id="5" name="corrected_flow_nm3_h"/>
    <x:tableColumn id="6" name="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LossComponentTable" displayName="LossComponentTable" ref="A1:D6" headerRowCount="1">
  <x:tableColumns count="4">
    <x:tableColumn id="1" name="metric"/>
    <x:tableColumn id="2" name="formula_or_value"/>
    <x:tableColumn id="3" name="unit"/>
    <x:tableColumn id="4" name="engineering_treatment"/>
  </x:tableColumns>
  <x:tableStyleInfo name="TableStyleMedium2" showRowStripes="1"/>
</x:table>
</file>

<file path=xl/tables/table4.xml><?xml version="1.0" encoding="utf-8"?>
<x:table xmlns:x="http://schemas.openxmlformats.org/spreadsheetml/2006/main" id="4" name="PowerCrosscheckTable" displayName="PowerCrosscheckTable" ref="A1:D5" headerRowCount="1">
  <x:tableColumns count="4">
    <x:tableColumn id="1" name="parameter"/>
    <x:tableColumn id="2" name="value"/>
    <x:tableColumn id="3" name="unit"/>
    <x:tableColumn id="4" name="treat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a4b70ba43348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994230f02748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d2f38c2c1e4a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c14c2d25bbe4378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5" hidden="0" customWidth="1"/>
    <x:col min="3" max="3" width="16" hidden="0" customWidth="1"/>
    <x:col min="4" max="4" width="78" hidden="0" customWidth="1"/>
  </x:cols>
  <x:sheetData>
    <x:row r="1" ht="34" customHeight="1">
      <x:c r="A1" s="10" t="str">
        <x:v>parameter</x:v>
      </x:c>
      <x:c r="B1" s="10" t="str">
        <x:v>as_found_or_verified_value</x:v>
      </x:c>
      <x:c r="C1" s="10" t="str">
        <x:v>unit</x:v>
      </x:c>
      <x:c r="D1" s="10" t="str">
        <x:v>source_or_interpretation</x:v>
      </x:c>
    </x:row>
    <x:row r="2">
      <x:c r="A2" s="14" t="str">
        <x:v>Historian configured full-scale</x:v>
      </x:c>
      <x:c r="B2" s="15" t="n">
        <x:v>1800</x:v>
      </x:c>
      <x:c r="C2" s="14" t="str">
        <x:v>Nm3/h</x:v>
      </x:c>
      <x:c r="D2" s="14" t="str">
        <x:v>Historian tag configuration exported 2026-06-03.</x:v>
      </x:c>
    </x:row>
    <x:row r="3">
      <x:c r="A3" s="14" t="str">
        <x:v>Replacement transmitter full-scale</x:v>
      </x:c>
      <x:c r="B3" s="15" t="n">
        <x:v>2400</x:v>
      </x:c>
      <x:c r="C3" s="14" t="str">
        <x:v>Nm3/h</x:v>
      </x:c>
      <x:c r="D3" s="14" t="str">
        <x:v>FT-201 transmitter plate and commissioning sticker verified during walkdown.</x:v>
      </x:c>
    </x:row>
    <x:row r="4">
      <x:c r="A4" s="14" t="str">
        <x:v>Required correction factor</x:v>
      </x:c>
      <x:c r="B4" s="15" t="n">
        <x:f>B3/B2</x:f>
        <x:v>1.3333333333333333</x:v>
      </x:c>
      <x:c r="C4" s="14" t="str">
        <x:v>multiplier</x:v>
      </x:c>
      <x:c r="D4" s="14" t="str">
        <x:v>Multiply exported historian flow by this factor before using any FT-201 demand value.</x:v>
      </x:c>
    </x:row>
    <x:row r="5">
      <x:c r="A5" s="14" t="str">
        <x:v>Calibration status</x:v>
      </x:c>
      <x:c r="B5" s="14" t="str">
        <x:v>Apply correction</x:v>
      </x:c>
      <x:c r="C5" s="14" t="str"/>
      <x:c r="D5" s="14" t="str">
        <x:v>Historian export under-reports true flow because configured range was not updated.</x:v>
      </x:c>
    </x:row>
  </x:sheetData>
  <x:pageMargins left="0.7" right="0.7" top="0.75" bottom="0.75" header="0.3" footer="0.3"/>
  <x:tableParts count="1">
    <x:tablePart xmlns:r="http://schemas.openxmlformats.org/officeDocument/2006/relationships" r:id="R47a4b70ba43348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2" hidden="0" customWidth="1"/>
    <x:col min="3" max="3" width="20" hidden="0" customWidth="1"/>
    <x:col min="4" max="4" width="18" hidden="0" customWidth="1"/>
    <x:col min="5" max="5" width="22" hidden="0" customWidth="1"/>
    <x:col min="6" max="6" width="64" hidden="0" customWidth="1"/>
  </x:cols>
  <x:sheetData>
    <x:row r="1" ht="34" customHeight="1">
      <x:c r="A1" s="10" t="str">
        <x:v>test_id</x:v>
      </x:c>
      <x:c r="B1" s="10" t="str">
        <x:v>test_condition</x:v>
      </x:c>
      <x:c r="C1" s="10" t="str">
        <x:v>FT201_hist_nm3_h</x:v>
      </x:c>
      <x:c r="D1" s="10" t="str">
        <x:v>correction_factor</x:v>
      </x:c>
      <x:c r="E1" s="10" t="str">
        <x:v>corrected_flow_nm3_h</x:v>
      </x:c>
      <x:c r="F1" s="10" t="str">
        <x:v>interpretation</x:v>
      </x:c>
    </x:row>
    <x:row r="2">
      <x:c r="A2" s="14" t="str">
        <x:v>ISO-01</x:v>
      </x:c>
      <x:c r="B2" s="14" t="str">
        <x:v>Production stopped; distribution remains pressurized; dryer remains online</x:v>
      </x:c>
      <x:c r="C2" s="20" t="n">
        <x:v>315</x:v>
      </x:c>
      <x:c r="D2" s="20" t="n">
        <x:f>FT201_Calibration!B4</x:f>
        <x:v>1.3333333333333333</x:v>
      </x:c>
      <x:c r="E2" s="20" t="n">
        <x:f>C2*D2</x:f>
        <x:v>420</x:v>
      </x:c>
      <x:c r="F2" s="14" t="str">
        <x:v>Combined non-production distribution leakage plus dryer purge.</x:v>
      </x:c>
    </x:row>
    <x:row r="3">
      <x:c r="A3" s="14" t="str">
        <x:v>ISO-02</x:v>
      </x:c>
      <x:c r="B3" s="14" t="str">
        <x:v>Production stopped; distribution remains pressurized; dryer purge valve isolated</x:v>
      </x:c>
      <x:c r="C3" s="20" t="n">
        <x:v>225</x:v>
      </x:c>
      <x:c r="D3" s="20" t="n">
        <x:f>FT201_Calibration!B4</x:f>
        <x:v>1.3333333333333333</x:v>
      </x:c>
      <x:c r="E3" s="20" t="n">
        <x:f>C3*D3</x:f>
        <x:v>300</x:v>
      </x:c>
      <x:c r="F3" s="14" t="str">
        <x:v>Distribution leakage only.</x:v>
      </x:c>
    </x:row>
    <x:row r="4">
      <x:c r="A4" s="14" t="str">
        <x:v>ISO-03</x:v>
      </x:c>
      <x:c r="B4" s="14" t="str">
        <x:v>Production stopped; distribution isolated downstream of treatment; dryer remains online</x:v>
      </x:c>
      <x:c r="C4" s="20" t="n">
        <x:v>90</x:v>
      </x:c>
      <x:c r="D4" s="20" t="n">
        <x:f>FT201_Calibration!B4</x:f>
        <x:v>1.3333333333333333</x:v>
      </x:c>
      <x:c r="E4" s="20" t="n">
        <x:f>C4*D4</x:f>
        <x:v>120</x:v>
      </x:c>
      <x:c r="F4" s="14" t="str">
        <x:v>Dryer purge only; cross-check against ISO-01 minus ISO-02.</x:v>
      </x:c>
    </x:row>
  </x:sheetData>
  <x:pageMargins left="0.7" right="0.7" top="0.75" bottom="0.75" header="0.3" footer="0.3"/>
  <x:tableParts count="1">
    <x:tablePart xmlns:r="http://schemas.openxmlformats.org/officeDocument/2006/relationships" r:id="R9d994230f02748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14" hidden="0" customWidth="1"/>
    <x:col min="4" max="4" width="68" hidden="0" customWidth="1"/>
  </x:cols>
  <x:sheetData>
    <x:row r="1" ht="34" customHeight="1">
      <x:c r="A1" s="10" t="str">
        <x:v>metric</x:v>
      </x:c>
      <x:c r="B1" s="10" t="str">
        <x:v>formula_or_value</x:v>
      </x:c>
      <x:c r="C1" s="10" t="str">
        <x:v>unit</x:v>
      </x:c>
      <x:c r="D1" s="10" t="str">
        <x:v>engineering_treatment</x:v>
      </x:c>
    </x:row>
    <x:row r="2">
      <x:c r="A2" s="14" t="str">
        <x:v>Combined non-production flow</x:v>
      </x:c>
      <x:c r="B2" s="20" t="n">
        <x:f>Isolation_Test!E2</x:f>
        <x:v>420</x:v>
      </x:c>
      <x:c r="C2" s="14" t="str">
        <x:v>Nm3/h</x:v>
      </x:c>
      <x:c r="D2" s="14" t="str">
        <x:v>Do not report this as leakage alone.</x:v>
      </x:c>
    </x:row>
    <x:row r="3">
      <x:c r="A3" s="14" t="str">
        <x:v>Distribution leakage</x:v>
      </x:c>
      <x:c r="B3" s="20" t="n">
        <x:f>Isolation_Test!E3</x:f>
        <x:v>300</x:v>
      </x:c>
      <x:c r="C3" s="14" t="str">
        <x:v>Nm3/h</x:v>
      </x:c>
      <x:c r="D3" s="14" t="str">
        <x:v>Use as leakage load.</x:v>
      </x:c>
    </x:row>
    <x:row r="4">
      <x:c r="A4" s="14" t="str">
        <x:v>Dryer purge load</x:v>
      </x:c>
      <x:c r="B4" s="20" t="n">
        <x:f>Isolation_Test!E2-Isolation_Test!E3</x:f>
        <x:v>120</x:v>
      </x:c>
      <x:c r="C4" s="14" t="str">
        <x:v>Nm3/h</x:v>
      </x:c>
      <x:c r="D4" s="14" t="str">
        <x:v>Report separately from leakage.</x:v>
      </x:c>
    </x:row>
    <x:row r="5">
      <x:c r="A5" s="14" t="str">
        <x:v>Purge cross-check</x:v>
      </x:c>
      <x:c r="B5" s="20" t="n">
        <x:f>Isolation_Test!E4</x:f>
        <x:v>120</x:v>
      </x:c>
      <x:c r="C5" s="14" t="str">
        <x:v>Nm3/h</x:v>
      </x:c>
      <x:c r="D5" s="14" t="str">
        <x:v>Should match derived purge load.</x:v>
      </x:c>
    </x:row>
    <x:row r="6">
      <x:c r="A6" s="14" t="str">
        <x:v>Cross-check difference</x:v>
      </x:c>
      <x:c r="B6" s="20" t="n">
        <x:f>B4-B5</x:f>
        <x:v>0</x:v>
      </x:c>
      <x:c r="C6" s="14" t="str">
        <x:v>Nm3/h</x:v>
      </x:c>
      <x:c r="D6" s="14" t="str">
        <x:v>Expected to be zero or approximately equivalent after rounding.</x:v>
      </x:c>
    </x:row>
  </x:sheetData>
  <x:pageMargins left="0.7" right="0.7" top="0.75" bottom="0.75" header="0.3" footer="0.3"/>
  <x:tableParts count="1">
    <x:tablePart xmlns:r="http://schemas.openxmlformats.org/officeDocument/2006/relationships" r:id="R25d2f38c2c1e4a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1" hidden="0" customWidth="1"/>
    <x:col min="2" max="2" width="16" hidden="0" customWidth="1"/>
    <x:col min="3" max="3" width="12" hidden="0" customWidth="1"/>
    <x:col min="4" max="4" width="72" hidden="0" customWidth="1"/>
  </x:cols>
  <x:sheetData>
    <x:row r="1" ht="34" customHeight="1">
      <x:c r="A1" s="10" t="str">
        <x:v>parameter</x:v>
      </x:c>
      <x:c r="B1" s="10" t="str">
        <x:v>value</x:v>
      </x:c>
      <x:c r="C1" s="10" t="str">
        <x:v>unit</x:v>
      </x:c>
      <x:c r="D1" s="10" t="str">
        <x:v>treatment</x:v>
      </x:c>
    </x:row>
    <x:row r="2">
      <x:c r="A2" s="14" t="str">
        <x:v>C-102 legacy asset-register motor rating</x:v>
      </x:c>
      <x:c r="B2" s="14" t="n">
        <x:v>90</x:v>
      </x:c>
      <x:c r="C2" s="14" t="str">
        <x:v>kW</x:v>
      </x:c>
      <x:c r="D2" s="14" t="str">
        <x:v>Retained only to explain why the legacy calculated tag overstates power.</x:v>
      </x:c>
    </x:row>
    <x:row r="3">
      <x:c r="A3" s="14" t="str">
        <x:v>C-102 installed motor rating</x:v>
      </x:c>
      <x:c r="B3" s="14" t="n">
        <x:v>75</x:v>
      </x:c>
      <x:c r="C3" s="14" t="str">
        <x:v>kW</x:v>
      </x:c>
      <x:c r="D3" s="14" t="str">
        <x:v>Use field-verified and maintenance-record value.</x:v>
      </x:c>
    </x:row>
    <x:row r="4">
      <x:c r="A4" s="14" t="str">
        <x:v>Representative C-102 direct drive reading</x:v>
      </x:c>
      <x:c r="B4" s="14" t="n">
        <x:v>52.5</x:v>
      </x:c>
      <x:c r="C4" s="14" t="str">
        <x:v>kW</x:v>
      </x:c>
      <x:c r="D4" s="14" t="str">
        <x:v>Use direct VSD panel reading as the defensible power source.</x:v>
      </x:c>
    </x:row>
    <x:row r="5">
      <x:c r="A5" s="14" t="str">
        <x:v>Representative legacy calculated tag</x:v>
      </x:c>
      <x:c r="B5" s="14" t="n">
        <x:v>63</x:v>
      </x:c>
      <x:c r="C5" s="14" t="str">
        <x:v>kW</x:v>
      </x:c>
      <x:c r="D5" s="14" t="str">
        <x:v>Reject for baseline modelling.</x:v>
      </x:c>
    </x:row>
  </x:sheetData>
  <x:pageMargins left="0.7" right="0.7" top="0.75" bottom="0.75" header="0.3" footer="0.3"/>
  <x:tableParts count="1">
    <x:tablePart xmlns:r="http://schemas.openxmlformats.org/officeDocument/2006/relationships" r:id="R2c14c2d25bbe4378"/>
  </x:tableParts>
</x:worksheet>
</file>