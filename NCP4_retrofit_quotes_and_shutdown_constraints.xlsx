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9581cab8cd48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d_Options" sheetId="1" r:id="R9181fd5dbe5b4a2f"/>
    <x:sheet xmlns:r="http://schemas.openxmlformats.org/officeDocument/2006/relationships" name="Mandatory_Constraints" sheetId="2" r:id="R3bf73af1d5d3476f"/>
    <x:sheet xmlns:r="http://schemas.openxmlformats.org/officeDocument/2006/relationships" name="Vendor_Assumptions" sheetId="3" r:id="R3e4576fbecbd4e66"/>
    <x:sheet xmlns:r="http://schemas.openxmlformats.org/officeDocument/2006/relationships" name="Draft_Vendor_Comparison" sheetId="4" r:id="R37ed1038c5a94fbd"/>
    <x:sheet xmlns:r="http://schemas.openxmlformats.org/officeDocument/2006/relationships" name="Known_Open_Items" sheetId="5" r:id="R40e1fefccc1741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£#,##0"/>
    <x:numFmt numFmtId="202" formatCode="£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968b50dd94d8e" /><Relationship Type="http://schemas.openxmlformats.org/officeDocument/2006/relationships/theme" Target="/xl/theme/theme1.xml" Id="R8277b263ff7d4be4" /><Relationship Type="http://schemas.openxmlformats.org/officeDocument/2006/relationships/sharedStrings" Target="/xl/sharedStrings.xml" Id="R865fe7aa69c94c17" /><Relationship Type="http://schemas.openxmlformats.org/officeDocument/2006/relationships/worksheet" Target="/xl/worksheets/sheet1.xml" Id="R9181fd5dbe5b4a2f" /><Relationship Type="http://schemas.openxmlformats.org/officeDocument/2006/relationships/worksheet" Target="/xl/worksheets/sheet2.xml" Id="R3bf73af1d5d3476f" /><Relationship Type="http://schemas.openxmlformats.org/officeDocument/2006/relationships/worksheet" Target="/xl/worksheets/sheet3.xml" Id="R3e4576fbecbd4e66" /><Relationship Type="http://schemas.openxmlformats.org/officeDocument/2006/relationships/worksheet" Target="/xl/worksheets/sheet4.xml" Id="R37ed1038c5a94fbd" /><Relationship Type="http://schemas.openxmlformats.org/officeDocument/2006/relationships/worksheet" Target="/xl/worksheets/sheet5.xml" Id="R40e1fefccc174187" /></Relationships>
</file>

<file path=xl/tables/table1.xml><?xml version="1.0" encoding="utf-8"?>
<x:table xmlns:x="http://schemas.openxmlformats.org/spreadsheetml/2006/main" id="1" name="QuotedOptionTable" displayName="QuotedOptionTable" ref="A1:M5" headerRowCount="1">
  <x:tableColumns count="13">
    <x:tableColumn id="1" name="option_id"/>
    <x:tableColumn id="2" name="option_name"/>
    <x:tableColumn id="3" name="scope_summary"/>
    <x:tableColumn id="4" name="added_receiver_m3"/>
    <x:tableColumn id="5" name="total_receiver_m3_including_existing"/>
    <x:tableColumn id="6" name="capex_gbp"/>
    <x:tableColumn id="7" name="shutdown_hours"/>
    <x:tableColumn id="8" name="depends_on_C103_available"/>
    <x:tableColumn id="9" name="includes_dryer_filter_service"/>
    <x:tableColumn id="10" name="includes_branch_regulator_correction"/>
    <x:tableColumn id="11" name="includes_C102_VSD_sequencer_integration"/>
    <x:tableColumn id="12" name="vendor_claimed_annual_kWh_saving"/>
    <x:tableColumn id="13" name="vendor_recommendation"/>
  </x:tableColumns>
  <x:tableStyleInfo name="TableStyleMedium2" showRowStripes="1"/>
</x:table>
</file>

<file path=xl/tables/table2.xml><?xml version="1.0" encoding="utf-8"?>
<x:table xmlns:x="http://schemas.openxmlformats.org/spreadsheetml/2006/main" id="2" name="MandatoryConstraintTable" displayName="MandatoryConstraintTable" ref="A1:E10" headerRowCount="1">
  <x:tableColumns count="5">
    <x:tableColumn id="1" name="constraint_id"/>
    <x:tableColumn id="2" name="requirement"/>
    <x:tableColumn id="3" name="threshold_or_rule"/>
    <x:tableColumn id="4" name="source"/>
    <x:tableColumn id="5" name="screening_treatment"/>
  </x:tableColumns>
  <x:tableStyleInfo name="TableStyleMedium2" showRowStripes="1"/>
</x:table>
</file>

<file path=xl/tables/table3.xml><?xml version="1.0" encoding="utf-8"?>
<x:table xmlns:x="http://schemas.openxmlformats.org/spreadsheetml/2006/main" id="3" name="VendorAssumptionTable" displayName="VendorAssumptionTable" ref="A1:D8" headerRowCount="1">
  <x:tableColumns count="4">
    <x:tableColumn id="1" name="option_id"/>
    <x:tableColumn id="2" name="assumption_or_claim"/>
    <x:tableColumn id="3" name="status"/>
    <x:tableColumn id="4" name="why_it_requires_review"/>
  </x:tableColumns>
  <x:tableStyleInfo name="TableStyleMedium2" showRowStripes="1"/>
</x:table>
</file>

<file path=xl/tables/table4.xml><?xml version="1.0" encoding="utf-8"?>
<x:table xmlns:x="http://schemas.openxmlformats.org/spreadsheetml/2006/main" id="4" name="DraftVendorComparisonTable" displayName="DraftVendorComparisonTable" ref="A1:C6" headerRowCount="1">
  <x:tableColumns count="3">
    <x:tableColumn id="1" name="draft_metric"/>
    <x:tableColumn id="2" name="value"/>
    <x:tableColumn id="3" name="why_not_authoritative"/>
  </x:tableColumns>
  <x:tableStyleInfo name="TableStyleMedium2" showRowStripes="1"/>
</x:table>
</file>

<file path=xl/tables/table5.xml><?xml version="1.0" encoding="utf-8"?>
<x:table xmlns:x="http://schemas.openxmlformats.org/spreadsheetml/2006/main" id="5" name="KnownOpenItemTable" displayName="KnownOpenItemTable" ref="A1:E5" headerRowCount="1">
  <x:tableColumns count="5">
    <x:tableColumn id="1" name="item_id"/>
    <x:tableColumn id="2" name="topic"/>
    <x:tableColumn id="3" name="unresolved_question"/>
    <x:tableColumn id="4" name="decision_gate"/>
    <x:tableColumn id="5" name="recommended_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28e77a10f447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c111541582242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90525c54974f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d8c49e05a0048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304713694cd47b1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2" hidden="0" customWidth="1"/>
    <x:col min="3" max="3" width="75" hidden="0" customWidth="1"/>
    <x:col min="4" max="4" width="18" hidden="0" customWidth="1"/>
    <x:col min="5" max="5" width="22" hidden="0" customWidth="1"/>
    <x:col min="6" max="6" width="15" hidden="0" customWidth="1"/>
    <x:col min="7" max="7" width="16" hidden="0" customWidth="1"/>
    <x:col min="8" max="8" width="21" hidden="0" customWidth="1"/>
    <x:col min="9" max="9" width="21" hidden="0" customWidth="1"/>
    <x:col min="10" max="10" width="28" hidden="0" customWidth="1"/>
    <x:col min="11" max="11" width="32" hidden="0" customWidth="1"/>
    <x:col min="12" max="12" width="25" hidden="0" customWidth="1"/>
    <x:col min="13" max="13" width="42" hidden="0" customWidth="1"/>
  </x:cols>
  <x:sheetData>
    <x:row r="1" ht="50" customHeight="1">
      <x:c r="A1" s="10" t="str">
        <x:v>option_id</x:v>
      </x:c>
      <x:c r="B1" s="10" t="str">
        <x:v>option_name</x:v>
      </x:c>
      <x:c r="C1" s="10" t="str">
        <x:v>scope_summary</x:v>
      </x:c>
      <x:c r="D1" s="10" t="str">
        <x:v>added_receiver_m3</x:v>
      </x:c>
      <x:c r="E1" s="10" t="str">
        <x:v>total_receiver_m3_including_existing</x:v>
      </x:c>
      <x:c r="F1" s="10" t="str">
        <x:v>capex_gbp</x:v>
      </x:c>
      <x:c r="G1" s="10" t="str">
        <x:v>shutdown_hours</x:v>
      </x:c>
      <x:c r="H1" s="10" t="str">
        <x:v>depends_on_C103_available</x:v>
      </x:c>
      <x:c r="I1" s="10" t="str">
        <x:v>includes_dryer_filter_service</x:v>
      </x:c>
      <x:c r="J1" s="10" t="str">
        <x:v>includes_branch_regulator_correction</x:v>
      </x:c>
      <x:c r="K1" s="10" t="str">
        <x:v>includes_C102_VSD_sequencer_integration</x:v>
      </x:c>
      <x:c r="L1" s="10" t="str">
        <x:v>vendor_claimed_annual_kWh_saving</x:v>
      </x:c>
      <x:c r="M1" s="10" t="str">
        <x:v>vendor_recommendation</x:v>
      </x:c>
    </x:row>
    <x:row r="2">
      <x:c r="A2" s="16" t="str">
        <x:v>A</x:v>
      </x:c>
      <x:c r="B2" s="16" t="str">
        <x:v>Low-cost storage patch</x:v>
      </x:c>
      <x:c r="C2" s="16" t="str">
        <x:v>Add 6 m3 receiver; retain current controls; no treatment service</x:v>
      </x:c>
      <x:c r="D2" s="17" t="n">
        <x:v>6</x:v>
      </x:c>
      <x:c r="E2" s="17" t="n">
        <x:f>D2+6</x:f>
        <x:v>12</x:v>
      </x:c>
      <x:c r="F2" s="18" t="n">
        <x:v>42000</x:v>
      </x:c>
      <x:c r="G2" s="17" t="n">
        <x:v>6</x:v>
      </x:c>
      <x:c r="H2" s="16" t="str">
        <x:v>No</x:v>
      </x:c>
      <x:c r="I2" s="16" t="str">
        <x:v>No</x:v>
      </x:c>
      <x:c r="J2" s="16" t="str">
        <x:v>No</x:v>
      </x:c>
      <x:c r="K2" s="16" t="str">
        <x:v>No</x:v>
      </x:c>
      <x:c r="L2" s="16" t="n">
        <x:v>142000</x:v>
      </x:c>
      <x:c r="M2" s="16" t="str">
        <x:v>Preferred in draft because lowest capex</x:v>
      </x:c>
    </x:row>
    <x:row r="3">
      <x:c r="A3" s="16" t="str">
        <x:v>B</x:v>
      </x:c>
      <x:c r="B3" s="16" t="str">
        <x:v>Integrated transient and efficiency retrofit</x:v>
      </x:c>
      <x:c r="C3" s="16" t="str">
        <x:v>Add 14 m3 receiver; service dryer/filter train; correct packaging branch regulator; integrate C-102 VSD trim with sequencer</x:v>
      </x:c>
      <x:c r="D3" s="17" t="n">
        <x:v>14</x:v>
      </x:c>
      <x:c r="E3" s="17" t="n">
        <x:f>D3+6</x:f>
        <x:v>20</x:v>
      </x:c>
      <x:c r="F3" s="18" t="n">
        <x:v>89000</x:v>
      </x:c>
      <x:c r="G3" s="17" t="n">
        <x:v>10</x:v>
      </x:c>
      <x:c r="H3" s="16" t="str">
        <x:v>No</x:v>
      </x:c>
      <x:c r="I3" s="16" t="str">
        <x:v>Yes</x:v>
      </x:c>
      <x:c r="J3" s="16" t="str">
        <x:v>Yes</x:v>
      </x:c>
      <x:c r="K3" s="16" t="str">
        <x:v>Yes</x:v>
      </x:c>
      <x:c r="L3" s="16" t="n">
        <x:v>168000</x:v>
      </x:c>
      <x:c r="M3" s="16" t="str">
        <x:v>Technically preferred subject to open-item closure</x:v>
      </x:c>
    </x:row>
    <x:row r="4">
      <x:c r="A4" s="16" t="str">
        <x:v>C</x:v>
      </x:c>
      <x:c r="B4" s="16" t="str">
        <x:v>Standby-led compressor rotation</x:v>
      </x:c>
      <x:c r="C4" s="16" t="str">
        <x:v>Add 10 m3 receiver; return C-103 to standby rotation; retain existing branch regulator</x:v>
      </x:c>
      <x:c r="D4" s="17" t="n">
        <x:v>10</x:v>
      </x:c>
      <x:c r="E4" s="17" t="n">
        <x:f>D4+6</x:f>
        <x:v>16</x:v>
      </x:c>
      <x:c r="F4" s="18" t="n">
        <x:v>93000</x:v>
      </x:c>
      <x:c r="G4" s="17" t="n">
        <x:v>12</x:v>
      </x:c>
      <x:c r="H4" s="16" t="str">
        <x:v>Yes</x:v>
      </x:c>
      <x:c r="I4" s="16" t="str">
        <x:v>Yes</x:v>
      </x:c>
      <x:c r="J4" s="16" t="str">
        <x:v>No</x:v>
      </x:c>
      <x:c r="K4" s="16" t="str">
        <x:v>No</x:v>
      </x:c>
      <x:c r="L4" s="16" t="n">
        <x:v>190000</x:v>
      </x:c>
      <x:c r="M4" s="16" t="str">
        <x:v>Alternative if C-103 can be used</x:v>
      </x:c>
    </x:row>
    <x:row r="5">
      <x:c r="A5" s="16" t="str">
        <x:v>D</x:v>
      </x:c>
      <x:c r="B5" s="16" t="str">
        <x:v>Oversized replacement package</x:v>
      </x:c>
      <x:c r="C5" s="16" t="str">
        <x:v>Install new 132 kW compressor and add 20 m3 receiver</x:v>
      </x:c>
      <x:c r="D5" s="17" t="n">
        <x:v>20</x:v>
      </x:c>
      <x:c r="E5" s="17" t="n">
        <x:f>D5+6</x:f>
        <x:v>26</x:v>
      </x:c>
      <x:c r="F5" s="18" t="n">
        <x:v>158000</x:v>
      </x:c>
      <x:c r="G5" s="17" t="n">
        <x:v>20</x:v>
      </x:c>
      <x:c r="H5" s="16" t="str">
        <x:v>No</x:v>
      </x:c>
      <x:c r="I5" s="16" t="str">
        <x:v>Yes</x:v>
      </x:c>
      <x:c r="J5" s="16" t="str">
        <x:v>Yes</x:v>
      </x:c>
      <x:c r="K5" s="16" t="str">
        <x:v>Yes</x:v>
      </x:c>
      <x:c r="L5" s="16" t="n">
        <x:v>225000</x:v>
      </x:c>
      <x:c r="M5" s="16" t="str">
        <x:v>Vendor premium option</x:v>
      </x:c>
    </x:row>
  </x:sheetData>
  <x:pageMargins left="0.7" right="0.7" top="0.75" bottom="0.75" header="0.3" footer="0.3"/>
  <x:tableParts count="1">
    <x:tablePart xmlns:r="http://schemas.openxmlformats.org/officeDocument/2006/relationships" r:id="R2c28e77a10f447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48" hidden="0" customWidth="1"/>
    <x:col min="4" max="4" width="46" hidden="0" customWidth="1"/>
    <x:col min="5" max="5" width="67" hidden="0" customWidth="1"/>
  </x:cols>
  <x:sheetData>
    <x:row r="1" ht="34" customHeight="1">
      <x:c r="A1" s="10" t="str">
        <x:v>constraint_id</x:v>
      </x:c>
      <x:c r="B1" s="10" t="str">
        <x:v>requirement</x:v>
      </x:c>
      <x:c r="C1" s="10" t="str">
        <x:v>threshold_or_rule</x:v>
      </x:c>
      <x:c r="D1" s="10" t="str">
        <x:v>source</x:v>
      </x:c>
      <x:c r="E1" s="10" t="str">
        <x:v>screening_treatment</x:v>
      </x:c>
    </x:row>
    <x:row r="2">
      <x:c r="A2" s="16" t="str">
        <x:v>CON-01</x:v>
      </x:c>
      <x:c r="B2" s="16" t="str">
        <x:v>Critical packaging-hall minimum pressure</x:v>
      </x:c>
      <x:c r="C2" s="16" t="str">
        <x:v>&gt;= 6.30 bar(g) at PT-404 during credible event</x:v>
      </x:c>
      <x:c r="D2" s="16" t="str">
        <x:v>NCP4_production_pressure_requirements.csv</x:v>
      </x:c>
      <x:c r="E2" s="16" t="str">
        <x:v>Evaluate at point of use, not receiver header.</x:v>
      </x:c>
    </x:row>
    <x:row r="3">
      <x:c r="A3" s="16" t="str">
        <x:v>CON-02</x:v>
      </x:c>
      <x:c r="B3" s="16" t="str">
        <x:v>Approved event basis</x:v>
      </x:c>
      <x:c r="C3" s="16" t="str">
        <x:v>620 Nm3/h incremental demand for 50 seconds</x:v>
      </x:c>
      <x:c r="D3" s="16" t="str">
        <x:v>NCP4_production_pressure_requirements.csv</x:v>
      </x:c>
      <x:c r="E3" s="16" t="str">
        <x:v>Use corrected flow basis and approved duration.</x:v>
      </x:c>
    </x:row>
    <x:row r="4">
      <x:c r="A4" s="16" t="str">
        <x:v>CON-03</x:v>
      </x:c>
      <x:c r="B4" s="16" t="str">
        <x:v>Storage capacity</x:v>
      </x:c>
      <x:c r="C4" s="16" t="str">
        <x:v>&gt;= calculated required receiver geometric volume</x:v>
      </x:c>
      <x:c r="D4" s="16" t="str">
        <x:v>NCP4_vendor_performance_curves.xlsx</x:v>
      </x:c>
      <x:c r="E4" s="16" t="str">
        <x:v>Calculate from approved receiver pressure band; compare to total installed capacity.</x:v>
      </x:c>
    </x:row>
    <x:row r="5">
      <x:c r="A5" s="16" t="str">
        <x:v>CON-04</x:v>
      </x:c>
      <x:c r="B5" s="16" t="str">
        <x:v>Approved capex ceiling</x:v>
      </x:c>
      <x:c r="C5" s="16" t="str">
        <x:v>&lt;= GBP 95,000</x:v>
      </x:c>
      <x:c r="D5" s="16" t="str">
        <x:v>Facilities approval minute FAC-26-0607</x:v>
      </x:c>
      <x:c r="E5" s="16" t="str">
        <x:v>Reject options above ceiling.</x:v>
      </x:c>
    </x:row>
    <x:row r="6">
      <x:c r="A6" s="16" t="str">
        <x:v>CON-05</x:v>
      </x:c>
      <x:c r="B6" s="16" t="str">
        <x:v>Maximum plant shutdown window</x:v>
      </x:c>
      <x:c r="C6" s="16" t="str">
        <x:v>&lt;= 12 hours</x:v>
      </x:c>
      <x:c r="D6" s="16" t="str">
        <x:v>Production shutdown notice PROD-26-0610</x:v>
      </x:c>
      <x:c r="E6" s="16" t="str">
        <x:v>Reject options exceeding the single approved window.</x:v>
      </x:c>
    </x:row>
    <x:row r="7">
      <x:c r="A7" s="16" t="str">
        <x:v>CON-06</x:v>
      </x:c>
      <x:c r="B7" s="16" t="str">
        <x:v>Reliable operating configuration</x:v>
      </x:c>
      <x:c r="C7" s="16" t="str">
        <x:v>Must not depend on C-103 until vendor return-to-service sign-off</x:v>
      </x:c>
      <x:c r="D7" s="16" t="str">
        <x:v>NCP4_compressor_maintenance_history.docx</x:v>
      </x:c>
      <x:c r="E7" s="16" t="str">
        <x:v>C-103 is unavailable.</x:v>
      </x:c>
    </x:row>
    <x:row r="8">
      <x:c r="A8" s="16" t="str">
        <x:v>CON-07</x:v>
      </x:c>
      <x:c r="B8" s="16" t="str">
        <x:v>Treatment pressure-drop recovery</x:v>
      </x:c>
      <x:c r="C8" s="16" t="str">
        <x:v>Selected option must include dryer/filter service or separately justify current pressure losses</x:v>
      </x:c>
      <x:c r="D8" s="16" t="str">
        <x:v>NCP4_metering_walkdown_and_tag_review.docx</x:v>
      </x:c>
      <x:c r="E8" s="16" t="str">
        <x:v>Current pressure collapse includes excessive treatment DP.</x:v>
      </x:c>
    </x:row>
    <x:row r="9">
      <x:c r="A9" s="16" t="str">
        <x:v>CON-08</x:v>
      </x:c>
      <x:c r="B9" s="16" t="str">
        <x:v>Branch pressure recovery</x:v>
      </x:c>
      <x:c r="C9" s="16" t="str">
        <x:v>Selected option must correct or justify packaging branch regulator loss</x:v>
      </x:c>
      <x:c r="D9" s="16" t="str">
        <x:v>NCP4_metering_walkdown_and_tag_review.docx</x:v>
      </x:c>
      <x:c r="E9" s="16" t="str">
        <x:v>Use post-service pressure-drop basis only where scope includes correction.</x:v>
      </x:c>
    </x:row>
    <x:row r="10">
      <x:c r="A10" s="16" t="str">
        <x:v>CON-09</x:v>
      </x:c>
      <x:c r="B10" s="16" t="str">
        <x:v>Purchase-order gate</x:v>
      </x:c>
      <x:c r="C10" s="16" t="str">
        <x:v>Close sequencer compatibility, receiver-pad structural verification, and statutory receiver inspection plan</x:v>
      </x:c>
      <x:c r="D10" s="16" t="str">
        <x:v>Open items</x:v>
      </x:c>
      <x:c r="E10" s="16" t="str">
        <x:v>Record as unresolved pre-PO gates; do not invent answers.</x:v>
      </x:c>
    </x:row>
  </x:sheetData>
  <x:pageMargins left="0.7" right="0.7" top="0.75" bottom="0.75" header="0.3" footer="0.3"/>
  <x:tableParts count="1">
    <x:tablePart xmlns:r="http://schemas.openxmlformats.org/officeDocument/2006/relationships" r:id="R8c111541582242a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78" hidden="0" customWidth="1"/>
    <x:col min="3" max="3" width="17" hidden="0" customWidth="1"/>
    <x:col min="4" max="4" width="75" hidden="0" customWidth="1"/>
  </x:cols>
  <x:sheetData>
    <x:row r="1" ht="34" customHeight="1">
      <x:c r="A1" s="10" t="str">
        <x:v>option_id</x:v>
      </x:c>
      <x:c r="B1" s="10" t="str">
        <x:v>assumption_or_claim</x:v>
      </x:c>
      <x:c r="C1" s="10" t="str">
        <x:v>status</x:v>
      </x:c>
      <x:c r="D1" s="10" t="str">
        <x:v>why_it_requires_review</x:v>
      </x:c>
    </x:row>
    <x:row r="2">
      <x:c r="A2" s="16" t="str">
        <x:v>A</x:v>
      </x:c>
      <x:c r="B2" s="16" t="str">
        <x:v>Sizes storage using 35-second event and 0.80 bar pressure band.</x:v>
      </x:c>
      <x:c r="C2" s="16" t="str">
        <x:v>REJECT</x:v>
      </x:c>
      <x:c r="D2" s="16" t="str">
        <x:v>Approved event is 50 seconds and approved storage pressure band must preserve PT-404 minimum pressure.</x:v>
      </x:c>
    </x:row>
    <x:row r="3">
      <x:c r="A3" s="16" t="str">
        <x:v>A</x:v>
      </x:c>
      <x:c r="B3" s="16" t="str">
        <x:v>Uses FT-201 historian flow without transmitter-range correction.</x:v>
      </x:c>
      <x:c r="C3" s="16" t="str">
        <x:v>REJECT</x:v>
      </x:c>
      <x:c r="D3" s="16" t="str">
        <x:v>FT-201 historian scaling is stale.</x:v>
      </x:c>
    </x:row>
    <x:row r="4">
      <x:c r="A4" s="16" t="str">
        <x:v>A</x:v>
      </x:c>
      <x:c r="B4" s="16" t="str">
        <x:v>Treats receiver-header pressure as proof of packaging pressure compliance.</x:v>
      </x:c>
      <x:c r="C4" s="16" t="str">
        <x:v>REJECT</x:v>
      </x:c>
      <x:c r="D4" s="16" t="str">
        <x:v>PT-404 is the critical point-of-use sensor.</x:v>
      </x:c>
    </x:row>
    <x:row r="5">
      <x:c r="A5" s="16" t="str">
        <x:v>B</x:v>
      </x:c>
      <x:c r="B5" s="16" t="str">
        <x:v>Assumes dryer/filter service restores maintained pressure-drop basis.</x:v>
      </x:c>
      <x:c r="C5" s="16" t="str">
        <x:v>CONDITIONAL</x:v>
      </x:c>
      <x:c r="D5" s="16" t="str">
        <x:v>Validate during commissioning; scope includes service.</x:v>
      </x:c>
    </x:row>
    <x:row r="6">
      <x:c r="A6" s="16" t="str">
        <x:v>B</x:v>
      </x:c>
      <x:c r="B6" s="16" t="str">
        <x:v>Assumes sequencer can integrate the installed C-102 VSD module.</x:v>
      </x:c>
      <x:c r="C6" s="16" t="str">
        <x:v>OPEN ITEM</x:v>
      </x:c>
      <x:c r="D6" s="16" t="str">
        <x:v>Firmware compatibility is not confirmed.</x:v>
      </x:c>
    </x:row>
    <x:row r="7">
      <x:c r="A7" s="16" t="str">
        <x:v>C</x:v>
      </x:c>
      <x:c r="B7" s="16" t="str">
        <x:v>Assumes C-103 is available for standby rotation.</x:v>
      </x:c>
      <x:c r="C7" s="16" t="str">
        <x:v>REJECT</x:v>
      </x:c>
      <x:c r="D7" s="16" t="str">
        <x:v>Maintenance lockout record makes C-103 unavailable.</x:v>
      </x:c>
    </x:row>
    <x:row r="8">
      <x:c r="A8" s="16" t="str">
        <x:v>D</x:v>
      </x:c>
      <x:c r="B8" s="16" t="str">
        <x:v>Assumes capex and shutdown variance can be approved later.</x:v>
      </x:c>
      <x:c r="C8" s="16" t="str">
        <x:v>REJECT</x:v>
      </x:c>
      <x:c r="D8" s="16" t="str">
        <x:v>Current management constraints are mandatory.</x:v>
      </x:c>
    </x:row>
  </x:sheetData>
  <x:pageMargins left="0.7" right="0.7" top="0.75" bottom="0.75" header="0.3" footer="0.3"/>
  <x:tableParts count="1">
    <x:tablePart xmlns:r="http://schemas.openxmlformats.org/officeDocument/2006/relationships" r:id="R5790525c54974f4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92" hidden="0" customWidth="1"/>
  </x:cols>
  <x:sheetData>
    <x:row r="1" ht="34" customHeight="1">
      <x:c r="A1" s="10" t="str">
        <x:v>draft_metric</x:v>
      </x:c>
      <x:c r="B1" s="10" t="str">
        <x:v>value</x:v>
      </x:c>
      <x:c r="C1" s="10" t="str">
        <x:v>why_not_authoritative</x:v>
      </x:c>
    </x:row>
    <x:row r="2">
      <x:c r="A2" s="16" t="str">
        <x:v>Draft selected option</x:v>
      </x:c>
      <x:c r="B2" s="16" t="str">
        <x:v>A</x:v>
      </x:c>
      <x:c r="C2" s="16" t="str">
        <x:v>Uses lowest capex rather than mandatory technical screening.</x:v>
      </x:c>
    </x:row>
    <x:row r="3">
      <x:c r="A3" s="16" t="str">
        <x:v>Draft event duration</x:v>
      </x:c>
      <x:c r="B3" s="16" t="n">
        <x:v>35</x:v>
      </x:c>
      <x:c r="C3" s="16" t="str">
        <x:v>Superseded by approved 50-second event in production requirements.</x:v>
      </x:c>
    </x:row>
    <x:row r="4">
      <x:c r="A4" s="16" t="str">
        <x:v>Draft tariff GBP/kWh</x:v>
      </x:c>
      <x:c r="B4" s="24" t="n">
        <x:v>0.112</x:v>
      </x:c>
      <x:c r="C4" s="16" t="str">
        <x:v>Superseded by signed energy tariff addendum.</x:v>
      </x:c>
    </x:row>
    <x:row r="5">
      <x:c r="A5" s="16" t="str">
        <x:v>Draft FT-201 scaling multiplier</x:v>
      </x:c>
      <x:c r="B5" s="16" t="n">
        <x:v>1</x:v>
      </x:c>
      <x:c r="C5" s="16" t="str">
        <x:v>Superseded by calibration workbook.</x:v>
      </x:c>
    </x:row>
    <x:row r="6">
      <x:c r="A6" s="16" t="str">
        <x:v>Draft C-103 status</x:v>
      </x:c>
      <x:c r="B6" s="16" t="str">
        <x:v>Available</x:v>
      </x:c>
      <x:c r="C6" s="16" t="str">
        <x:v>Superseded by signed maintenance lockout.</x:v>
      </x:c>
    </x:row>
  </x:sheetData>
  <x:pageMargins left="0.7" right="0.7" top="0.75" bottom="0.75" header="0.3" footer="0.3"/>
  <x:tableParts count="1">
    <x:tablePart xmlns:r="http://schemas.openxmlformats.org/officeDocument/2006/relationships" r:id="R2d8c49e05a00487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88" hidden="0" customWidth="1"/>
    <x:col min="4" max="4" width="42" hidden="0" customWidth="1"/>
    <x:col min="5" max="5" width="31" hidden="0" customWidth="1"/>
  </x:cols>
  <x:sheetData>
    <x:row r="1" ht="34" customHeight="1">
      <x:c r="A1" s="10" t="str">
        <x:v>item_id</x:v>
      </x:c>
      <x:c r="B1" s="10" t="str">
        <x:v>topic</x:v>
      </x:c>
      <x:c r="C1" s="10" t="str">
        <x:v>unresolved_question</x:v>
      </x:c>
      <x:c r="D1" s="10" t="str">
        <x:v>decision_gate</x:v>
      </x:c>
      <x:c r="E1" s="10" t="str">
        <x:v>recommended_owner</x:v>
      </x:c>
    </x:row>
    <x:row r="2">
      <x:c r="A2" s="16" t="str">
        <x:v>OI-01</x:v>
      </x:c>
      <x:c r="B2" s="16" t="str">
        <x:v>Sequencer compatibility</x:v>
      </x:c>
      <x:c r="C2" s="16" t="str">
        <x:v>Is the installed master-sequencer firmware compatible with the proposed C-102 VSD integration module?</x:v>
      </x:c>
      <x:c r="D2" s="16" t="str">
        <x:v>Close before PO release</x:v>
      </x:c>
      <x:c r="E2" s="16" t="str">
        <x:v>Controls engineer</x:v>
      </x:c>
    </x:row>
    <x:row r="3">
      <x:c r="A3" s="16" t="str">
        <x:v>OI-02</x:v>
      </x:c>
      <x:c r="B3" s="16" t="str">
        <x:v>Receiver foundation</x:v>
      </x:c>
      <x:c r="C3" s="16" t="str">
        <x:v>Can the existing pad and anchors accept the proposed added receiver load and footprint?</x:v>
      </x:c>
      <x:c r="D3" s="16" t="str">
        <x:v>Close before PO release</x:v>
      </x:c>
      <x:c r="E3" s="16" t="str">
        <x:v>Plant civil/structural engineer</x:v>
      </x:c>
    </x:row>
    <x:row r="4">
      <x:c r="A4" s="16" t="str">
        <x:v>OI-03</x:v>
      </x:c>
      <x:c r="B4" s="16" t="str">
        <x:v>Pressure-vessel compliance</x:v>
      </x:c>
      <x:c r="C4" s="16" t="str">
        <x:v>What safety-valve selection and statutory inspection plan apply to the added receiver capacity?</x:v>
      </x:c>
      <x:c r="D4" s="16" t="str">
        <x:v>Close before PO release</x:v>
      </x:c>
      <x:c r="E4" s="16" t="str">
        <x:v>Mechanical integrity lead</x:v>
      </x:c>
    </x:row>
    <x:row r="5">
      <x:c r="A5" s="16" t="str">
        <x:v>OI-04</x:v>
      </x:c>
      <x:c r="B5" s="16" t="str">
        <x:v>Future packaging expansion</x:v>
      </x:c>
      <x:c r="C5" s="16" t="str">
        <x:v>Is the informal future line expansion approved, and what is its demand profile?</x:v>
      </x:c>
      <x:c r="D5" s="16" t="str">
        <x:v>Track separately; do not include in approved current design basis</x:v>
      </x:c>
      <x:c r="E5" s="16" t="str">
        <x:v>Production engineering</x:v>
      </x:c>
    </x:row>
  </x:sheetData>
  <x:pageMargins left="0.7" right="0.7" top="0.75" bottom="0.75" header="0.3" footer="0.3"/>
  <x:tableParts count="1">
    <x:tablePart xmlns:r="http://schemas.openxmlformats.org/officeDocument/2006/relationships" r:id="R4304713694cd47b1"/>
  </x:tableParts>
</x:worksheet>
</file>