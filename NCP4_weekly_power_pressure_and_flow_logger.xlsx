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6b345f2eb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ger_Export" sheetId="1" r:id="Raac611e45b1a4c93"/>
    <x:sheet xmlns:r="http://schemas.openxmlformats.org/officeDocument/2006/relationships" name="Historian_Tag_Definitions" sheetId="2" r:id="R8e3eaa233e6c4a80"/>
    <x:sheet xmlns:r="http://schemas.openxmlformats.org/officeDocument/2006/relationships" name="Annualization_Basis" sheetId="3" r:id="Rfef48141aa344aa3"/>
    <x:sheet xmlns:r="http://schemas.openxmlformats.org/officeDocument/2006/relationships" name="Peak_Event_Detail" sheetId="4" r:id="R1c207b9107724707"/>
    <x:sheet xmlns:r="http://schemas.openxmlformats.org/officeDocument/2006/relationships" name="Read_Me" sheetId="5" r:id="R9b482e85dc5f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"/>
    <x:numFmt numFmtId="202" formatCode="#,##0"/>
    <x:numFmt numFmtId="203" formatCode="£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c7896ab5c4a1d" /><Relationship Type="http://schemas.openxmlformats.org/officeDocument/2006/relationships/theme" Target="/xl/theme/theme1.xml" Id="Reb652123f90c4d62" /><Relationship Type="http://schemas.openxmlformats.org/officeDocument/2006/relationships/sharedStrings" Target="/xl/sharedStrings.xml" Id="R162b9d6afc5e45cb" /><Relationship Type="http://schemas.openxmlformats.org/officeDocument/2006/relationships/worksheet" Target="/xl/worksheets/sheet1.xml" Id="Raac611e45b1a4c93" /><Relationship Type="http://schemas.openxmlformats.org/officeDocument/2006/relationships/worksheet" Target="/xl/worksheets/sheet2.xml" Id="R8e3eaa233e6c4a80" /><Relationship Type="http://schemas.openxmlformats.org/officeDocument/2006/relationships/worksheet" Target="/xl/worksheets/sheet3.xml" Id="Rfef48141aa344aa3" /><Relationship Type="http://schemas.openxmlformats.org/officeDocument/2006/relationships/worksheet" Target="/xl/worksheets/sheet4.xml" Id="R1c207b9107724707" /><Relationship Type="http://schemas.openxmlformats.org/officeDocument/2006/relationships/worksheet" Target="/xl/worksheets/sheet5.xml" Id="R9b482e85dc5f4564" /></Relationships>
</file>

<file path=xl/tables/table1.xml><?xml version="1.0" encoding="utf-8"?>
<x:table xmlns:x="http://schemas.openxmlformats.org/spreadsheetml/2006/main" id="1" name="LoggerExportTable" displayName="LoggerExportTable" ref="A1:L50" headerRowCount="1">
  <x:tableColumns count="12">
    <x:tableColumn id="1" name="timestamp"/>
    <x:tableColumn id="2" name="operating_state"/>
    <x:tableColumn id="3" name="FT201_hist_nm3_h"/>
    <x:tableColumn id="4" name="C101_kW"/>
    <x:tableColumn id="5" name="C102_calc_kW_legacy"/>
    <x:tableColumn id="6" name="C102_drive_kW"/>
    <x:tableColumn id="7" name="PT401_header_bar_g"/>
    <x:tableColumn id="8" name="dryer_outlet_bar_g"/>
    <x:tableColumn id="9" name="hall_entry_bar_g"/>
    <x:tableColumn id="10" name="PT404_pack_poi_bar_g"/>
    <x:tableColumn id="11" name="packaging_event_flag"/>
    <x:tableColumn id="12" name="engineering_note"/>
  </x:tableColumns>
  <x:tableStyleInfo name="TableStyleMedium2" showRowStripes="1"/>
</x:table>
</file>

<file path=xl/tables/table2.xml><?xml version="1.0" encoding="utf-8"?>
<x:table xmlns:x="http://schemas.openxmlformats.org/spreadsheetml/2006/main" id="2" name="HistorianTagTable" displayName="HistorianTagTable" ref="A1:D7" headerRowCount="1">
  <x:tableColumns count="4">
    <x:tableColumn id="1" name="tag_name"/>
    <x:tableColumn id="2" name="historian_definition"/>
    <x:tableColumn id="3" name="status"/>
    <x:tableColumn id="4" name="required_treatment"/>
  </x:tableColumns>
  <x:tableStyleInfo name="TableStyleMedium2" showRowStripes="1"/>
</x:table>
</file>

<file path=xl/tables/table3.xml><?xml version="1.0" encoding="utf-8"?>
<x:table xmlns:x="http://schemas.openxmlformats.org/spreadsheetml/2006/main" id="3" name="AnnualizationInputTable" displayName="AnnualizationInputTable" ref="A1:E4" headerRowCount="1">
  <x:tableColumns count="5">
    <x:tableColumn id="1" name="operating_state"/>
    <x:tableColumn id="2" name="annual_hours"/>
    <x:tableColumn id="3" name="baseline_total_kW"/>
    <x:tableColumn id="4" name="post_service_option_B_kW"/>
    <x:tableColumn id="5" name="basis_note"/>
  </x:tableColumns>
  <x:tableStyleInfo name="TableStyleMedium2" showRowStripes="1"/>
</x:table>
</file>

<file path=xl/tables/table4.xml><?xml version="1.0" encoding="utf-8"?>
<x:table xmlns:x="http://schemas.openxmlformats.org/spreadsheetml/2006/main" id="4" name="PeakEventTable" displayName="PeakEventTable" ref="A1:D9" headerRowCount="1">
  <x:tableColumns count="4">
    <x:tableColumn id="1" name="field"/>
    <x:tableColumn id="2" name="value"/>
    <x:tableColumn id="3" name="unit"/>
    <x:tableColumn id="4" name="engineering_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LoggerReadMeTable" displayName="LoggerReadMeTable" ref="A1:B6" headerRowCount="1">
  <x:tableColumns count="2">
    <x:tableColumn id="1" name="Topic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949ded7fe43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dae23dec81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03c8b77478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58a2f3b9d1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e64efa7399404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1" hidden="0" customWidth="1"/>
    <x:col min="3" max="3" width="17" hidden="0" customWidth="1"/>
    <x:col min="4" max="4" width="11" hidden="0" customWidth="1"/>
    <x:col min="5" max="5" width="18" hidden="0" customWidth="1"/>
    <x:col min="6" max="6" width="13" hidden="0" customWidth="1"/>
    <x:col min="7" max="7" width="16" hidden="0" customWidth="1"/>
    <x:col min="8" max="8" width="17" hidden="0" customWidth="1"/>
    <x:col min="9" max="9" width="16" hidden="0" customWidth="1"/>
    <x:col min="10" max="10" width="18" hidden="0" customWidth="1"/>
    <x:col min="11" max="11" width="16" hidden="0" customWidth="1"/>
    <x:col min="12" max="12" width="42" hidden="0" customWidth="1"/>
  </x:cols>
  <x:sheetData>
    <x:row r="1" ht="34" customHeight="1">
      <x:c r="A1" s="10" t="str">
        <x:v>timestamp</x:v>
      </x:c>
      <x:c r="B1" s="10" t="str">
        <x:v>operating_state</x:v>
      </x:c>
      <x:c r="C1" s="10" t="str">
        <x:v>FT201_hist_nm3_h</x:v>
      </x:c>
      <x:c r="D1" s="10" t="str">
        <x:v>C101_kW</x:v>
      </x:c>
      <x:c r="E1" s="10" t="str">
        <x:v>C102_calc_kW_legacy</x:v>
      </x:c>
      <x:c r="F1" s="10" t="str">
        <x:v>C102_drive_kW</x:v>
      </x:c>
      <x:c r="G1" s="10" t="str">
        <x:v>PT401_header_bar_g</x:v>
      </x:c>
      <x:c r="H1" s="10" t="str">
        <x:v>dryer_outlet_bar_g</x:v>
      </x:c>
      <x:c r="I1" s="10" t="str">
        <x:v>hall_entry_bar_g</x:v>
      </x:c>
      <x:c r="J1" s="10" t="str">
        <x:v>PT404_pack_poi_bar_g</x:v>
      </x:c>
      <x:c r="K1" s="10" t="str">
        <x:v>packaging_event_flag</x:v>
      </x:c>
      <x:c r="L1" s="10" t="str">
        <x:v>engineering_note</x:v>
      </x:c>
    </x:row>
    <x:row r="2">
      <x:c r="A2" s="16" t="n">
        <x:v>46175</x:v>
      </x:c>
      <x:c r="B2" s="17" t="str">
        <x:v>low_load</x:v>
      </x:c>
      <x:c r="C2" s="18" t="n">
        <x:v>315</x:v>
      </x:c>
      <x:c r="D2" s="18" t="n">
        <x:v>83</x:v>
      </x:c>
      <x:c r="E2" s="18" t="n">
        <x:v>0</x:v>
      </x:c>
      <x:c r="F2" s="18" t="n">
        <x:v>0</x:v>
      </x:c>
      <x:c r="G2" s="18" t="n">
        <x:v>7.22</x:v>
      </x:c>
      <x:c r="H2" s="18" t="n">
        <x:v>7</x:v>
      </x:c>
      <x:c r="I2" s="18" t="n">
        <x:v>6.8</x:v>
      </x:c>
      <x:c r="J2" s="18" t="n">
        <x:v>6.68</x:v>
      </x:c>
      <x:c r="K2" s="17" t="str">
        <x:v>No</x:v>
      </x:c>
      <x:c r="L2" s="17" t="str">
        <x:v>Non-production combined leakage plus dryer purge</x:v>
      </x:c>
    </x:row>
    <x:row r="3">
      <x:c r="A3" s="16" t="n">
        <x:v>46175.020833333336</x:v>
      </x:c>
      <x:c r="B3" s="17" t="str">
        <x:v>low_load</x:v>
      </x:c>
      <x:c r="C3" s="18" t="n">
        <x:v>315</x:v>
      </x:c>
      <x:c r="D3" s="18" t="n">
        <x:v>83</x:v>
      </x:c>
      <x:c r="E3" s="18" t="n">
        <x:v>0</x:v>
      </x:c>
      <x:c r="F3" s="18" t="n">
        <x:v>0</x:v>
      </x:c>
      <x:c r="G3" s="18" t="n">
        <x:v>7.22</x:v>
      </x:c>
      <x:c r="H3" s="18" t="n">
        <x:v>7</x:v>
      </x:c>
      <x:c r="I3" s="18" t="n">
        <x:v>6.8</x:v>
      </x:c>
      <x:c r="J3" s="18" t="n">
        <x:v>6.68</x:v>
      </x:c>
      <x:c r="K3" s="17" t="str">
        <x:v>No</x:v>
      </x:c>
      <x:c r="L3" s="17" t="str">
        <x:v>Non-production combined leakage plus dryer purge</x:v>
      </x:c>
    </x:row>
    <x:row r="4">
      <x:c r="A4" s="16" t="n">
        <x:v>46175.041666666664</x:v>
      </x:c>
      <x:c r="B4" s="17" t="str">
        <x:v>low_load</x:v>
      </x:c>
      <x:c r="C4" s="18" t="n">
        <x:v>315</x:v>
      </x:c>
      <x:c r="D4" s="18" t="n">
        <x:v>83</x:v>
      </x:c>
      <x:c r="E4" s="18" t="n">
        <x:v>0</x:v>
      </x:c>
      <x:c r="F4" s="18" t="n">
        <x:v>0</x:v>
      </x:c>
      <x:c r="G4" s="18" t="n">
        <x:v>7.22</x:v>
      </x:c>
      <x:c r="H4" s="18" t="n">
        <x:v>7</x:v>
      </x:c>
      <x:c r="I4" s="18" t="n">
        <x:v>6.8</x:v>
      </x:c>
      <x:c r="J4" s="18" t="n">
        <x:v>6.68</x:v>
      </x:c>
      <x:c r="K4" s="17" t="str">
        <x:v>No</x:v>
      </x:c>
      <x:c r="L4" s="17" t="str">
        <x:v>Non-production combined leakage plus dryer purge</x:v>
      </x:c>
    </x:row>
    <x:row r="5">
      <x:c r="A5" s="16" t="n">
        <x:v>46175.0625</x:v>
      </x:c>
      <x:c r="B5" s="17" t="str">
        <x:v>low_load</x:v>
      </x:c>
      <x:c r="C5" s="18" t="n">
        <x:v>315</x:v>
      </x:c>
      <x:c r="D5" s="18" t="n">
        <x:v>83</x:v>
      </x:c>
      <x:c r="E5" s="18" t="n">
        <x:v>0</x:v>
      </x:c>
      <x:c r="F5" s="18" t="n">
        <x:v>0</x:v>
      </x:c>
      <x:c r="G5" s="18" t="n">
        <x:v>7.22</x:v>
      </x:c>
      <x:c r="H5" s="18" t="n">
        <x:v>7</x:v>
      </x:c>
      <x:c r="I5" s="18" t="n">
        <x:v>6.8</x:v>
      </x:c>
      <x:c r="J5" s="18" t="n">
        <x:v>6.68</x:v>
      </x:c>
      <x:c r="K5" s="17" t="str">
        <x:v>No</x:v>
      </x:c>
      <x:c r="L5" s="17" t="str">
        <x:v>Non-production combined leakage plus dryer purge</x:v>
      </x:c>
    </x:row>
    <x:row r="6">
      <x:c r="A6" s="16" t="n">
        <x:v>46175.083333333336</x:v>
      </x:c>
      <x:c r="B6" s="17" t="str">
        <x:v>low_load</x:v>
      </x:c>
      <x:c r="C6" s="18" t="n">
        <x:v>315</x:v>
      </x:c>
      <x:c r="D6" s="18" t="n">
        <x:v>83</x:v>
      </x:c>
      <x:c r="E6" s="18" t="n">
        <x:v>0</x:v>
      </x:c>
      <x:c r="F6" s="18" t="n">
        <x:v>0</x:v>
      </x:c>
      <x:c r="G6" s="18" t="n">
        <x:v>7.22</x:v>
      </x:c>
      <x:c r="H6" s="18" t="n">
        <x:v>7</x:v>
      </x:c>
      <x:c r="I6" s="18" t="n">
        <x:v>6.8</x:v>
      </x:c>
      <x:c r="J6" s="18" t="n">
        <x:v>6.68</x:v>
      </x:c>
      <x:c r="K6" s="17" t="str">
        <x:v>No</x:v>
      </x:c>
      <x:c r="L6" s="17" t="str">
        <x:v>Non-production combined leakage plus dryer purge</x:v>
      </x:c>
    </x:row>
    <x:row r="7">
      <x:c r="A7" s="16" t="n">
        <x:v>46175.104166666664</x:v>
      </x:c>
      <x:c r="B7" s="17" t="str">
        <x:v>low_load</x:v>
      </x:c>
      <x:c r="C7" s="18" t="n">
        <x:v>315</x:v>
      </x:c>
      <x:c r="D7" s="18" t="n">
        <x:v>83</x:v>
      </x:c>
      <x:c r="E7" s="18" t="n">
        <x:v>0</x:v>
      </x:c>
      <x:c r="F7" s="18" t="n">
        <x:v>0</x:v>
      </x:c>
      <x:c r="G7" s="18" t="n">
        <x:v>7.22</x:v>
      </x:c>
      <x:c r="H7" s="18" t="n">
        <x:v>7</x:v>
      </x:c>
      <x:c r="I7" s="18" t="n">
        <x:v>6.8</x:v>
      </x:c>
      <x:c r="J7" s="18" t="n">
        <x:v>6.68</x:v>
      </x:c>
      <x:c r="K7" s="17" t="str">
        <x:v>No</x:v>
      </x:c>
      <x:c r="L7" s="17" t="str">
        <x:v>Non-production combined leakage plus dryer purge</x:v>
      </x:c>
    </x:row>
    <x:row r="8">
      <x:c r="A8" s="16" t="n">
        <x:v>46175.125</x:v>
      </x:c>
      <x:c r="B8" s="17" t="str">
        <x:v>low_load</x:v>
      </x:c>
      <x:c r="C8" s="18" t="n">
        <x:v>315</x:v>
      </x:c>
      <x:c r="D8" s="18" t="n">
        <x:v>83</x:v>
      </x:c>
      <x:c r="E8" s="18" t="n">
        <x:v>0</x:v>
      </x:c>
      <x:c r="F8" s="18" t="n">
        <x:v>0</x:v>
      </x:c>
      <x:c r="G8" s="18" t="n">
        <x:v>7.22</x:v>
      </x:c>
      <x:c r="H8" s="18" t="n">
        <x:v>7</x:v>
      </x:c>
      <x:c r="I8" s="18" t="n">
        <x:v>6.8</x:v>
      </x:c>
      <x:c r="J8" s="18" t="n">
        <x:v>6.68</x:v>
      </x:c>
      <x:c r="K8" s="17" t="str">
        <x:v>No</x:v>
      </x:c>
      <x:c r="L8" s="17" t="str">
        <x:v>Non-production combined leakage plus dryer purge</x:v>
      </x:c>
    </x:row>
    <x:row r="9">
      <x:c r="A9" s="16" t="n">
        <x:v>46175.145833333336</x:v>
      </x:c>
      <x:c r="B9" s="17" t="str">
        <x:v>low_load</x:v>
      </x:c>
      <x:c r="C9" s="18" t="n">
        <x:v>315</x:v>
      </x:c>
      <x:c r="D9" s="18" t="n">
        <x:v>83</x:v>
      </x:c>
      <x:c r="E9" s="18" t="n">
        <x:v>0</x:v>
      </x:c>
      <x:c r="F9" s="18" t="n">
        <x:v>0</x:v>
      </x:c>
      <x:c r="G9" s="18" t="n">
        <x:v>7.22</x:v>
      </x:c>
      <x:c r="H9" s="18" t="n">
        <x:v>7</x:v>
      </x:c>
      <x:c r="I9" s="18" t="n">
        <x:v>6.8</x:v>
      </x:c>
      <x:c r="J9" s="18" t="n">
        <x:v>6.68</x:v>
      </x:c>
      <x:c r="K9" s="17" t="str">
        <x:v>No</x:v>
      </x:c>
      <x:c r="L9" s="17" t="str">
        <x:v>Non-production combined leakage plus dryer purge</x:v>
      </x:c>
    </x:row>
    <x:row r="10">
      <x:c r="A10" s="16" t="n">
        <x:v>46175.166666666664</x:v>
      </x:c>
      <x:c r="B10" s="17" t="str">
        <x:v>low_load</x:v>
      </x:c>
      <x:c r="C10" s="18" t="n">
        <x:v>315</x:v>
      </x:c>
      <x:c r="D10" s="18" t="n">
        <x:v>83</x:v>
      </x:c>
      <x:c r="E10" s="18" t="n">
        <x:v>0</x:v>
      </x:c>
      <x:c r="F10" s="18" t="n">
        <x:v>0</x:v>
      </x:c>
      <x:c r="G10" s="18" t="n">
        <x:v>7.22</x:v>
      </x:c>
      <x:c r="H10" s="18" t="n">
        <x:v>7</x:v>
      </x:c>
      <x:c r="I10" s="18" t="n">
        <x:v>6.8</x:v>
      </x:c>
      <x:c r="J10" s="18" t="n">
        <x:v>6.68</x:v>
      </x:c>
      <x:c r="K10" s="17" t="str">
        <x:v>No</x:v>
      </x:c>
      <x:c r="L10" s="17" t="str">
        <x:v>Non-production combined leakage plus dryer purge</x:v>
      </x:c>
    </x:row>
    <x:row r="11">
      <x:c r="A11" s="16" t="n">
        <x:v>46175.1875</x:v>
      </x:c>
      <x:c r="B11" s="17" t="str">
        <x:v>low_load</x:v>
      </x:c>
      <x:c r="C11" s="18" t="n">
        <x:v>315</x:v>
      </x:c>
      <x:c r="D11" s="18" t="n">
        <x:v>83</x:v>
      </x:c>
      <x:c r="E11" s="18" t="n">
        <x:v>0</x:v>
      </x:c>
      <x:c r="F11" s="18" t="n">
        <x:v>0</x:v>
      </x:c>
      <x:c r="G11" s="18" t="n">
        <x:v>7.22</x:v>
      </x:c>
      <x:c r="H11" s="18" t="n">
        <x:v>7</x:v>
      </x:c>
      <x:c r="I11" s="18" t="n">
        <x:v>6.8</x:v>
      </x:c>
      <x:c r="J11" s="18" t="n">
        <x:v>6.68</x:v>
      </x:c>
      <x:c r="K11" s="17" t="str">
        <x:v>No</x:v>
      </x:c>
      <x:c r="L11" s="17" t="str">
        <x:v>Non-production combined leakage plus dryer purge</x:v>
      </x:c>
    </x:row>
    <x:row r="12">
      <x:c r="A12" s="16" t="n">
        <x:v>46175.208333333336</x:v>
      </x:c>
      <x:c r="B12" s="17" t="str">
        <x:v>low_load</x:v>
      </x:c>
      <x:c r="C12" s="18" t="n">
        <x:v>315</x:v>
      </x:c>
      <x:c r="D12" s="18" t="n">
        <x:v>83</x:v>
      </x:c>
      <x:c r="E12" s="18" t="n">
        <x:v>0</x:v>
      </x:c>
      <x:c r="F12" s="18" t="n">
        <x:v>0</x:v>
      </x:c>
      <x:c r="G12" s="18" t="n">
        <x:v>7.22</x:v>
      </x:c>
      <x:c r="H12" s="18" t="n">
        <x:v>7</x:v>
      </x:c>
      <x:c r="I12" s="18" t="n">
        <x:v>6.8</x:v>
      </x:c>
      <x:c r="J12" s="18" t="n">
        <x:v>6.68</x:v>
      </x:c>
      <x:c r="K12" s="17" t="str">
        <x:v>No</x:v>
      </x:c>
      <x:c r="L12" s="17" t="str">
        <x:v>Non-production combined leakage plus dryer purge</x:v>
      </x:c>
    </x:row>
    <x:row r="13">
      <x:c r="A13" s="16" t="n">
        <x:v>46175.229166666664</x:v>
      </x:c>
      <x:c r="B13" s="17" t="str">
        <x:v>low_load</x:v>
      </x:c>
      <x:c r="C13" s="18" t="n">
        <x:v>315</x:v>
      </x:c>
      <x:c r="D13" s="18" t="n">
        <x:v>83</x:v>
      </x:c>
      <x:c r="E13" s="18" t="n">
        <x:v>0</x:v>
      </x:c>
      <x:c r="F13" s="18" t="n">
        <x:v>0</x:v>
      </x:c>
      <x:c r="G13" s="18" t="n">
        <x:v>7.22</x:v>
      </x:c>
      <x:c r="H13" s="18" t="n">
        <x:v>7</x:v>
      </x:c>
      <x:c r="I13" s="18" t="n">
        <x:v>6.8</x:v>
      </x:c>
      <x:c r="J13" s="18" t="n">
        <x:v>6.68</x:v>
      </x:c>
      <x:c r="K13" s="17" t="str">
        <x:v>No</x:v>
      </x:c>
      <x:c r="L13" s="17" t="str">
        <x:v>Non-production combined leakage plus dryer purge</x:v>
      </x:c>
    </x:row>
    <x:row r="14">
      <x:c r="A14" s="16" t="n">
        <x:v>46175.25</x:v>
      </x:c>
      <x:c r="B14" s="17" t="str">
        <x:v>production</x:v>
      </x:c>
      <x:c r="C14" s="18" t="n">
        <x:v>1392.5</x:v>
      </x:c>
      <x:c r="D14" s="18" t="n">
        <x:v>105</x:v>
      </x:c>
      <x:c r="E14" s="18" t="n">
        <x:v>65.4</x:v>
      </x:c>
      <x:c r="F14" s="18" t="n">
        <x:v>54.5</x:v>
      </x:c>
      <x:c r="G14" s="18" t="n">
        <x:v>7.18</x:v>
      </x:c>
      <x:c r="H14" s="18" t="n">
        <x:v>6.92</x:v>
      </x:c>
      <x:c r="I14" s="18" t="n">
        <x:v>6.68</x:v>
      </x:c>
      <x:c r="J14" s="18" t="n">
        <x:v>6.55</x:v>
      </x:c>
      <x:c r="K14" s="17" t="str">
        <x:v>No</x:v>
      </x:c>
      <x:c r="L14" s="17" t="str">
        <x:v>Normal production sample</x:v>
      </x:c>
    </x:row>
    <x:row r="15">
      <x:c r="A15" s="16" t="n">
        <x:v>46175.270833333336</x:v>
      </x:c>
      <x:c r="B15" s="17" t="str">
        <x:v>production</x:v>
      </x:c>
      <x:c r="C15" s="18" t="n">
        <x:v>1372.5</x:v>
      </x:c>
      <x:c r="D15" s="18" t="n">
        <x:v>103.5</x:v>
      </x:c>
      <x:c r="E15" s="18" t="n">
        <x:v>63</x:v>
      </x:c>
      <x:c r="F15" s="18" t="n">
        <x:v>52.5</x:v>
      </x:c>
      <x:c r="G15" s="18" t="n">
        <x:v>7.18</x:v>
      </x:c>
      <x:c r="H15" s="18" t="n">
        <x:v>6.92</x:v>
      </x:c>
      <x:c r="I15" s="18" t="n">
        <x:v>6.68</x:v>
      </x:c>
      <x:c r="J15" s="18" t="n">
        <x:v>6.55</x:v>
      </x:c>
      <x:c r="K15" s="17" t="str">
        <x:v>No</x:v>
      </x:c>
      <x:c r="L15" s="17" t="str">
        <x:v>Normal production sample</x:v>
      </x:c>
    </x:row>
    <x:row r="16">
      <x:c r="A16" s="16" t="n">
        <x:v>46175.291666666664</x:v>
      </x:c>
      <x:c r="B16" s="17" t="str">
        <x:v>production</x:v>
      </x:c>
      <x:c r="C16" s="18" t="n">
        <x:v>1372.5</x:v>
      </x:c>
      <x:c r="D16" s="18" t="n">
        <x:v>103.5</x:v>
      </x:c>
      <x:c r="E16" s="18" t="n">
        <x:v>63</x:v>
      </x:c>
      <x:c r="F16" s="18" t="n">
        <x:v>52.5</x:v>
      </x:c>
      <x:c r="G16" s="18" t="n">
        <x:v>7.18</x:v>
      </x:c>
      <x:c r="H16" s="18" t="n">
        <x:v>6.92</x:v>
      </x:c>
      <x:c r="I16" s="18" t="n">
        <x:v>6.68</x:v>
      </x:c>
      <x:c r="J16" s="18" t="n">
        <x:v>6.55</x:v>
      </x:c>
      <x:c r="K16" s="17" t="str">
        <x:v>No</x:v>
      </x:c>
      <x:c r="L16" s="17" t="str">
        <x:v>Normal production sample</x:v>
      </x:c>
    </x:row>
    <x:row r="17">
      <x:c r="A17" s="16" t="n">
        <x:v>46175.3125</x:v>
      </x:c>
      <x:c r="B17" s="17" t="str">
        <x:v>production</x:v>
      </x:c>
      <x:c r="C17" s="18" t="n">
        <x:v>1362.5</x:v>
      </x:c>
      <x:c r="D17" s="18" t="n">
        <x:v>103.5</x:v>
      </x:c>
      <x:c r="E17" s="18" t="n">
        <x:v>61.8</x:v>
      </x:c>
      <x:c r="F17" s="18" t="n">
        <x:v>51.5</x:v>
      </x:c>
      <x:c r="G17" s="18" t="n">
        <x:v>7.18</x:v>
      </x:c>
      <x:c r="H17" s="18" t="n">
        <x:v>6.92</x:v>
      </x:c>
      <x:c r="I17" s="18" t="n">
        <x:v>6.68</x:v>
      </x:c>
      <x:c r="J17" s="18" t="n">
        <x:v>6.55</x:v>
      </x:c>
      <x:c r="K17" s="17" t="str">
        <x:v>No</x:v>
      </x:c>
      <x:c r="L17" s="17" t="str">
        <x:v>Normal production sample</x:v>
      </x:c>
    </x:row>
    <x:row r="18">
      <x:c r="A18" s="16" t="n">
        <x:v>46175.333333333336</x:v>
      </x:c>
      <x:c r="B18" s="17" t="str">
        <x:v>production</x:v>
      </x:c>
      <x:c r="C18" s="18" t="n">
        <x:v>1392.5</x:v>
      </x:c>
      <x:c r="D18" s="18" t="n">
        <x:v>105</x:v>
      </x:c>
      <x:c r="E18" s="18" t="n">
        <x:v>65.4</x:v>
      </x:c>
      <x:c r="F18" s="18" t="n">
        <x:v>54.5</x:v>
      </x:c>
      <x:c r="G18" s="18" t="n">
        <x:v>7.18</x:v>
      </x:c>
      <x:c r="H18" s="18" t="n">
        <x:v>6.92</x:v>
      </x:c>
      <x:c r="I18" s="18" t="n">
        <x:v>6.68</x:v>
      </x:c>
      <x:c r="J18" s="18" t="n">
        <x:v>6.55</x:v>
      </x:c>
      <x:c r="K18" s="17" t="str">
        <x:v>No</x:v>
      </x:c>
      <x:c r="L18" s="17" t="str">
        <x:v>Normal production sample</x:v>
      </x:c>
    </x:row>
    <x:row r="19">
      <x:c r="A19" s="16" t="n">
        <x:v>46175.354166666664</x:v>
      </x:c>
      <x:c r="B19" s="17" t="str">
        <x:v>production</x:v>
      </x:c>
      <x:c r="C19" s="18" t="n">
        <x:v>1372.5</x:v>
      </x:c>
      <x:c r="D19" s="18" t="n">
        <x:v>103.5</x:v>
      </x:c>
      <x:c r="E19" s="18" t="n">
        <x:v>63</x:v>
      </x:c>
      <x:c r="F19" s="18" t="n">
        <x:v>52.5</x:v>
      </x:c>
      <x:c r="G19" s="18" t="n">
        <x:v>7.18</x:v>
      </x:c>
      <x:c r="H19" s="18" t="n">
        <x:v>6.92</x:v>
      </x:c>
      <x:c r="I19" s="18" t="n">
        <x:v>6.68</x:v>
      </x:c>
      <x:c r="J19" s="18" t="n">
        <x:v>6.55</x:v>
      </x:c>
      <x:c r="K19" s="17" t="str">
        <x:v>No</x:v>
      </x:c>
      <x:c r="L19" s="17" t="str">
        <x:v>Normal production sample</x:v>
      </x:c>
    </x:row>
    <x:row r="20">
      <x:c r="A20" s="16" t="n">
        <x:v>46175.375</x:v>
      </x:c>
      <x:c r="B20" s="17" t="str">
        <x:v>production</x:v>
      </x:c>
      <x:c r="C20" s="18" t="n">
        <x:v>1372.5</x:v>
      </x:c>
      <x:c r="D20" s="18" t="n">
        <x:v>103.5</x:v>
      </x:c>
      <x:c r="E20" s="18" t="n">
        <x:v>63</x:v>
      </x:c>
      <x:c r="F20" s="18" t="n">
        <x:v>52.5</x:v>
      </x:c>
      <x:c r="G20" s="18" t="n">
        <x:v>7.18</x:v>
      </x:c>
      <x:c r="H20" s="18" t="n">
        <x:v>6.92</x:v>
      </x:c>
      <x:c r="I20" s="18" t="n">
        <x:v>6.68</x:v>
      </x:c>
      <x:c r="J20" s="18" t="n">
        <x:v>6.55</x:v>
      </x:c>
      <x:c r="K20" s="17" t="str">
        <x:v>No</x:v>
      </x:c>
      <x:c r="L20" s="17" t="str">
        <x:v>Normal production sample</x:v>
      </x:c>
    </x:row>
    <x:row r="21">
      <x:c r="A21" s="16" t="n">
        <x:v>46175.395833333336</x:v>
      </x:c>
      <x:c r="B21" s="17" t="str">
        <x:v>production</x:v>
      </x:c>
      <x:c r="C21" s="18" t="n">
        <x:v>1372.5</x:v>
      </x:c>
      <x:c r="D21" s="18" t="n">
        <x:v>103.5</x:v>
      </x:c>
      <x:c r="E21" s="18" t="n">
        <x:v>63</x:v>
      </x:c>
      <x:c r="F21" s="18" t="n">
        <x:v>52.5</x:v>
      </x:c>
      <x:c r="G21" s="18" t="n">
        <x:v>7.18</x:v>
      </x:c>
      <x:c r="H21" s="18" t="n">
        <x:v>6.92</x:v>
      </x:c>
      <x:c r="I21" s="18" t="n">
        <x:v>6.68</x:v>
      </x:c>
      <x:c r="J21" s="18" t="n">
        <x:v>6.55</x:v>
      </x:c>
      <x:c r="K21" s="17" t="str">
        <x:v>No</x:v>
      </x:c>
      <x:c r="L21" s="17" t="str">
        <x:v>Normal production sample</x:v>
      </x:c>
    </x:row>
    <x:row r="22">
      <x:c r="A22" s="16" t="n">
        <x:v>46175.416666666664</x:v>
      </x:c>
      <x:c r="B22" s="17" t="str">
        <x:v>production</x:v>
      </x:c>
      <x:c r="C22" s="18" t="n">
        <x:v>1392.5</x:v>
      </x:c>
      <x:c r="D22" s="18" t="n">
        <x:v>105</x:v>
      </x:c>
      <x:c r="E22" s="18" t="n">
        <x:v>65.4</x:v>
      </x:c>
      <x:c r="F22" s="18" t="n">
        <x:v>54.5</x:v>
      </x:c>
      <x:c r="G22" s="18" t="n">
        <x:v>7.18</x:v>
      </x:c>
      <x:c r="H22" s="18" t="n">
        <x:v>6.92</x:v>
      </x:c>
      <x:c r="I22" s="18" t="n">
        <x:v>6.68</x:v>
      </x:c>
      <x:c r="J22" s="18" t="n">
        <x:v>6.55</x:v>
      </x:c>
      <x:c r="K22" s="17" t="str">
        <x:v>No</x:v>
      </x:c>
      <x:c r="L22" s="17" t="str">
        <x:v>Normal production sample</x:v>
      </x:c>
    </x:row>
    <x:row r="23">
      <x:c r="A23" s="16" t="n">
        <x:v>46175.4375</x:v>
      </x:c>
      <x:c r="B23" s="17" t="str">
        <x:v>production</x:v>
      </x:c>
      <x:c r="C23" s="18" t="n">
        <x:v>1372.5</x:v>
      </x:c>
      <x:c r="D23" s="18" t="n">
        <x:v>103.5</x:v>
      </x:c>
      <x:c r="E23" s="18" t="n">
        <x:v>63</x:v>
      </x:c>
      <x:c r="F23" s="18" t="n">
        <x:v>52.5</x:v>
      </x:c>
      <x:c r="G23" s="18" t="n">
        <x:v>7.18</x:v>
      </x:c>
      <x:c r="H23" s="18" t="n">
        <x:v>6.92</x:v>
      </x:c>
      <x:c r="I23" s="18" t="n">
        <x:v>6.68</x:v>
      </x:c>
      <x:c r="J23" s="18" t="n">
        <x:v>6.55</x:v>
      </x:c>
      <x:c r="K23" s="17" t="str">
        <x:v>No</x:v>
      </x:c>
      <x:c r="L23" s="17" t="str">
        <x:v>Normal production sample</x:v>
      </x:c>
    </x:row>
    <x:row r="24">
      <x:c r="A24" s="16" t="n">
        <x:v>46175.458333333336</x:v>
      </x:c>
      <x:c r="B24" s="17" t="str">
        <x:v>production</x:v>
      </x:c>
      <x:c r="C24" s="18" t="n">
        <x:v>1372.5</x:v>
      </x:c>
      <x:c r="D24" s="18" t="n">
        <x:v>103.5</x:v>
      </x:c>
      <x:c r="E24" s="18" t="n">
        <x:v>63</x:v>
      </x:c>
      <x:c r="F24" s="18" t="n">
        <x:v>52.5</x:v>
      </x:c>
      <x:c r="G24" s="18" t="n">
        <x:v>7.18</x:v>
      </x:c>
      <x:c r="H24" s="18" t="n">
        <x:v>6.92</x:v>
      </x:c>
      <x:c r="I24" s="18" t="n">
        <x:v>6.68</x:v>
      </x:c>
      <x:c r="J24" s="18" t="n">
        <x:v>6.55</x:v>
      </x:c>
      <x:c r="K24" s="17" t="str">
        <x:v>No</x:v>
      </x:c>
      <x:c r="L24" s="17" t="str">
        <x:v>Normal production sample</x:v>
      </x:c>
    </x:row>
    <x:row r="25">
      <x:c r="A25" s="16" t="n">
        <x:v>46175.479166666664</x:v>
      </x:c>
      <x:c r="B25" s="17" t="str">
        <x:v>production</x:v>
      </x:c>
      <x:c r="C25" s="18" t="n">
        <x:v>1372.5</x:v>
      </x:c>
      <x:c r="D25" s="18" t="n">
        <x:v>103.5</x:v>
      </x:c>
      <x:c r="E25" s="18" t="n">
        <x:v>63</x:v>
      </x:c>
      <x:c r="F25" s="18" t="n">
        <x:v>52.5</x:v>
      </x:c>
      <x:c r="G25" s="18" t="n">
        <x:v>7.18</x:v>
      </x:c>
      <x:c r="H25" s="18" t="n">
        <x:v>6.92</x:v>
      </x:c>
      <x:c r="I25" s="18" t="n">
        <x:v>6.68</x:v>
      </x:c>
      <x:c r="J25" s="18" t="n">
        <x:v>6.55</x:v>
      </x:c>
      <x:c r="K25" s="17" t="str">
        <x:v>No</x:v>
      </x:c>
      <x:c r="L25" s="17" t="str">
        <x:v>Normal production sample</x:v>
      </x:c>
    </x:row>
    <x:row r="26">
      <x:c r="A26" s="16" t="n">
        <x:v>46175.5</x:v>
      </x:c>
      <x:c r="B26" s="17" t="str">
        <x:v>production</x:v>
      </x:c>
      <x:c r="C26" s="18" t="n">
        <x:v>1392.5</x:v>
      </x:c>
      <x:c r="D26" s="18" t="n">
        <x:v>105</x:v>
      </x:c>
      <x:c r="E26" s="18" t="n">
        <x:v>65.4</x:v>
      </x:c>
      <x:c r="F26" s="18" t="n">
        <x:v>54.5</x:v>
      </x:c>
      <x:c r="G26" s="18" t="n">
        <x:v>7.18</x:v>
      </x:c>
      <x:c r="H26" s="18" t="n">
        <x:v>6.92</x:v>
      </x:c>
      <x:c r="I26" s="18" t="n">
        <x:v>6.68</x:v>
      </x:c>
      <x:c r="J26" s="18" t="n">
        <x:v>6.55</x:v>
      </x:c>
      <x:c r="K26" s="17" t="str">
        <x:v>No</x:v>
      </x:c>
      <x:c r="L26" s="17" t="str">
        <x:v>Normal production sample</x:v>
      </x:c>
    </x:row>
    <x:row r="27">
      <x:c r="A27" s="16" t="n">
        <x:v>46175.520833333336</x:v>
      </x:c>
      <x:c r="B27" s="17" t="str">
        <x:v>production</x:v>
      </x:c>
      <x:c r="C27" s="18" t="n">
        <x:v>1362.5</x:v>
      </x:c>
      <x:c r="D27" s="18" t="n">
        <x:v>103.5</x:v>
      </x:c>
      <x:c r="E27" s="18" t="n">
        <x:v>61.8</x:v>
      </x:c>
      <x:c r="F27" s="18" t="n">
        <x:v>51.5</x:v>
      </x:c>
      <x:c r="G27" s="18" t="n">
        <x:v>7.18</x:v>
      </x:c>
      <x:c r="H27" s="18" t="n">
        <x:v>6.92</x:v>
      </x:c>
      <x:c r="I27" s="18" t="n">
        <x:v>6.68</x:v>
      </x:c>
      <x:c r="J27" s="18" t="n">
        <x:v>6.55</x:v>
      </x:c>
      <x:c r="K27" s="17" t="str">
        <x:v>No</x:v>
      </x:c>
      <x:c r="L27" s="17" t="str">
        <x:v>Normal production sample</x:v>
      </x:c>
    </x:row>
    <x:row r="28">
      <x:c r="A28" s="16" t="n">
        <x:v>46175.541666666664</x:v>
      </x:c>
      <x:c r="B28" s="17" t="str">
        <x:v>production</x:v>
      </x:c>
      <x:c r="C28" s="18" t="n">
        <x:v>1372.5</x:v>
      </x:c>
      <x:c r="D28" s="18" t="n">
        <x:v>103.5</x:v>
      </x:c>
      <x:c r="E28" s="18" t="n">
        <x:v>63</x:v>
      </x:c>
      <x:c r="F28" s="18" t="n">
        <x:v>52.5</x:v>
      </x:c>
      <x:c r="G28" s="18" t="n">
        <x:v>7.18</x:v>
      </x:c>
      <x:c r="H28" s="18" t="n">
        <x:v>6.92</x:v>
      </x:c>
      <x:c r="I28" s="18" t="n">
        <x:v>6.68</x:v>
      </x:c>
      <x:c r="J28" s="18" t="n">
        <x:v>6.55</x:v>
      </x:c>
      <x:c r="K28" s="17" t="str">
        <x:v>No</x:v>
      </x:c>
      <x:c r="L28" s="17" t="str">
        <x:v>Normal production sample</x:v>
      </x:c>
    </x:row>
    <x:row r="29">
      <x:c r="A29" s="16" t="n">
        <x:v>46175.5625</x:v>
      </x:c>
      <x:c r="B29" s="17" t="str">
        <x:v>production</x:v>
      </x:c>
      <x:c r="C29" s="18" t="n">
        <x:v>1372.5</x:v>
      </x:c>
      <x:c r="D29" s="18" t="n">
        <x:v>103.5</x:v>
      </x:c>
      <x:c r="E29" s="18" t="n">
        <x:v>63</x:v>
      </x:c>
      <x:c r="F29" s="18" t="n">
        <x:v>52.5</x:v>
      </x:c>
      <x:c r="G29" s="18" t="n">
        <x:v>7.18</x:v>
      </x:c>
      <x:c r="H29" s="18" t="n">
        <x:v>6.92</x:v>
      </x:c>
      <x:c r="I29" s="18" t="n">
        <x:v>6.68</x:v>
      </x:c>
      <x:c r="J29" s="18" t="n">
        <x:v>6.55</x:v>
      </x:c>
      <x:c r="K29" s="17" t="str">
        <x:v>No</x:v>
      </x:c>
      <x:c r="L29" s="17" t="str">
        <x:v>Normal production sample</x:v>
      </x:c>
    </x:row>
    <x:row r="30">
      <x:c r="A30" s="16" t="n">
        <x:v>46175.583333333336</x:v>
      </x:c>
      <x:c r="B30" s="17" t="str">
        <x:v>production</x:v>
      </x:c>
      <x:c r="C30" s="18" t="n">
        <x:v>1392.5</x:v>
      </x:c>
      <x:c r="D30" s="18" t="n">
        <x:v>105</x:v>
      </x:c>
      <x:c r="E30" s="18" t="n">
        <x:v>65.4</x:v>
      </x:c>
      <x:c r="F30" s="18" t="n">
        <x:v>54.5</x:v>
      </x:c>
      <x:c r="G30" s="18" t="n">
        <x:v>7.18</x:v>
      </x:c>
      <x:c r="H30" s="18" t="n">
        <x:v>6.92</x:v>
      </x:c>
      <x:c r="I30" s="18" t="n">
        <x:v>6.68</x:v>
      </x:c>
      <x:c r="J30" s="18" t="n">
        <x:v>6.55</x:v>
      </x:c>
      <x:c r="K30" s="17" t="str">
        <x:v>No</x:v>
      </x:c>
      <x:c r="L30" s="17" t="str">
        <x:v>Normal production sample</x:v>
      </x:c>
    </x:row>
    <x:row r="31">
      <x:c r="A31" s="16" t="n">
        <x:v>46175.59537037037</x:v>
      </x:c>
      <x:c r="B31" s="17" t="str">
        <x:v>packaging_peak_event</x:v>
      </x:c>
      <x:c r="C31" s="18" t="n">
        <x:v>1837.5</x:v>
      </x:c>
      <x:c r="D31" s="18" t="n">
        <x:v>105</x:v>
      </x:c>
      <x:c r="E31" s="18" t="n">
        <x:v>82.8</x:v>
      </x:c>
      <x:c r="F31" s="18" t="n">
        <x:v>69</x:v>
      </x:c>
      <x:c r="G31" s="18" t="n">
        <x:v>6.95</x:v>
      </x:c>
      <x:c r="H31" s="18" t="n">
        <x:v>6.6</x:v>
      </x:c>
      <x:c r="I31" s="18" t="n">
        <x:v>6.32</x:v>
      </x:c>
      <x:c r="J31" s="18" t="n">
        <x:v>6.16</x:v>
      </x:c>
      <x:c r="K31" s="17" t="str">
        <x:v>Yes</x:v>
      </x:c>
      <x:c r="L31" s="17" t="str">
        <x:v>50-second packaging-hall demand event; use corrected FT-201 scaling</x:v>
      </x:c>
    </x:row>
    <x:row r="32">
      <x:c r="A32" s="16" t="n">
        <x:v>46175.604166666664</x:v>
      </x:c>
      <x:c r="B32" s="17" t="str">
        <x:v>production</x:v>
      </x:c>
      <x:c r="C32" s="18" t="n">
        <x:v>1372.5</x:v>
      </x:c>
      <x:c r="D32" s="18" t="n">
        <x:v>103.5</x:v>
      </x:c>
      <x:c r="E32" s="18" t="n">
        <x:v>63</x:v>
      </x:c>
      <x:c r="F32" s="18" t="n">
        <x:v>52.5</x:v>
      </x:c>
      <x:c r="G32" s="18" t="n">
        <x:v>7.18</x:v>
      </x:c>
      <x:c r="H32" s="18" t="n">
        <x:v>6.92</x:v>
      </x:c>
      <x:c r="I32" s="18" t="n">
        <x:v>6.68</x:v>
      </x:c>
      <x:c r="J32" s="18" t="n">
        <x:v>6.55</x:v>
      </x:c>
      <x:c r="K32" s="17" t="str">
        <x:v>No</x:v>
      </x:c>
      <x:c r="L32" s="17" t="str">
        <x:v>Normal production sample</x:v>
      </x:c>
    </x:row>
    <x:row r="33">
      <x:c r="A33" s="16" t="n">
        <x:v>46175.625</x:v>
      </x:c>
      <x:c r="B33" s="17" t="str">
        <x:v>production</x:v>
      </x:c>
      <x:c r="C33" s="18" t="n">
        <x:v>1362.5</x:v>
      </x:c>
      <x:c r="D33" s="18" t="n">
        <x:v>103.5</x:v>
      </x:c>
      <x:c r="E33" s="18" t="n">
        <x:v>61.8</x:v>
      </x:c>
      <x:c r="F33" s="18" t="n">
        <x:v>51.5</x:v>
      </x:c>
      <x:c r="G33" s="18" t="n">
        <x:v>7.18</x:v>
      </x:c>
      <x:c r="H33" s="18" t="n">
        <x:v>6.92</x:v>
      </x:c>
      <x:c r="I33" s="18" t="n">
        <x:v>6.68</x:v>
      </x:c>
      <x:c r="J33" s="18" t="n">
        <x:v>6.55</x:v>
      </x:c>
      <x:c r="K33" s="17" t="str">
        <x:v>No</x:v>
      </x:c>
      <x:c r="L33" s="17" t="str">
        <x:v>Normal production sample</x:v>
      </x:c>
    </x:row>
    <x:row r="34">
      <x:c r="A34" s="16" t="n">
        <x:v>46175.645833333336</x:v>
      </x:c>
      <x:c r="B34" s="17" t="str">
        <x:v>production</x:v>
      </x:c>
      <x:c r="C34" s="18" t="n">
        <x:v>1372.5</x:v>
      </x:c>
      <x:c r="D34" s="18" t="n">
        <x:v>103.5</x:v>
      </x:c>
      <x:c r="E34" s="18" t="n">
        <x:v>63</x:v>
      </x:c>
      <x:c r="F34" s="18" t="n">
        <x:v>52.5</x:v>
      </x:c>
      <x:c r="G34" s="18" t="n">
        <x:v>7.18</x:v>
      </x:c>
      <x:c r="H34" s="18" t="n">
        <x:v>6.92</x:v>
      </x:c>
      <x:c r="I34" s="18" t="n">
        <x:v>6.68</x:v>
      </x:c>
      <x:c r="J34" s="18" t="n">
        <x:v>6.55</x:v>
      </x:c>
      <x:c r="K34" s="17" t="str">
        <x:v>No</x:v>
      </x:c>
      <x:c r="L34" s="17" t="str">
        <x:v>Normal production sample</x:v>
      </x:c>
    </x:row>
    <x:row r="35">
      <x:c r="A35" s="16" t="n">
        <x:v>46175.666666666664</x:v>
      </x:c>
      <x:c r="B35" s="17" t="str">
        <x:v>production</x:v>
      </x:c>
      <x:c r="C35" s="18" t="n">
        <x:v>1392.5</x:v>
      </x:c>
      <x:c r="D35" s="18" t="n">
        <x:v>105</x:v>
      </x:c>
      <x:c r="E35" s="18" t="n">
        <x:v>65.4</x:v>
      </x:c>
      <x:c r="F35" s="18" t="n">
        <x:v>54.5</x:v>
      </x:c>
      <x:c r="G35" s="18" t="n">
        <x:v>7.18</x:v>
      </x:c>
      <x:c r="H35" s="18" t="n">
        <x:v>6.92</x:v>
      </x:c>
      <x:c r="I35" s="18" t="n">
        <x:v>6.68</x:v>
      </x:c>
      <x:c r="J35" s="18" t="n">
        <x:v>6.55</x:v>
      </x:c>
      <x:c r="K35" s="17" t="str">
        <x:v>No</x:v>
      </x:c>
      <x:c r="L35" s="17" t="str">
        <x:v>Normal production sample</x:v>
      </x:c>
    </x:row>
    <x:row r="36">
      <x:c r="A36" s="16" t="n">
        <x:v>46175.6875</x:v>
      </x:c>
      <x:c r="B36" s="17" t="str">
        <x:v>production</x:v>
      </x:c>
      <x:c r="C36" s="18" t="n">
        <x:v>1372.5</x:v>
      </x:c>
      <x:c r="D36" s="18" t="n">
        <x:v>103.5</x:v>
      </x:c>
      <x:c r="E36" s="18" t="n">
        <x:v>63</x:v>
      </x:c>
      <x:c r="F36" s="18" t="n">
        <x:v>52.5</x:v>
      </x:c>
      <x:c r="G36" s="18" t="n">
        <x:v>7.18</x:v>
      </x:c>
      <x:c r="H36" s="18" t="n">
        <x:v>6.92</x:v>
      </x:c>
      <x:c r="I36" s="18" t="n">
        <x:v>6.68</x:v>
      </x:c>
      <x:c r="J36" s="18" t="n">
        <x:v>6.55</x:v>
      </x:c>
      <x:c r="K36" s="17" t="str">
        <x:v>No</x:v>
      </x:c>
      <x:c r="L36" s="17" t="str">
        <x:v>Normal production sample</x:v>
      </x:c>
    </x:row>
    <x:row r="37">
      <x:c r="A37" s="16" t="n">
        <x:v>46175.708333333336</x:v>
      </x:c>
      <x:c r="B37" s="17" t="str">
        <x:v>production</x:v>
      </x:c>
      <x:c r="C37" s="18" t="n">
        <x:v>1372.5</x:v>
      </x:c>
      <x:c r="D37" s="18" t="n">
        <x:v>103.5</x:v>
      </x:c>
      <x:c r="E37" s="18" t="n">
        <x:v>63</x:v>
      </x:c>
      <x:c r="F37" s="18" t="n">
        <x:v>52.5</x:v>
      </x:c>
      <x:c r="G37" s="18" t="n">
        <x:v>7.18</x:v>
      </x:c>
      <x:c r="H37" s="18" t="n">
        <x:v>6.92</x:v>
      </x:c>
      <x:c r="I37" s="18" t="n">
        <x:v>6.68</x:v>
      </x:c>
      <x:c r="J37" s="18" t="n">
        <x:v>6.55</x:v>
      </x:c>
      <x:c r="K37" s="17" t="str">
        <x:v>No</x:v>
      </x:c>
      <x:c r="L37" s="17" t="str">
        <x:v>Normal production sample</x:v>
      </x:c>
    </x:row>
    <x:row r="38">
      <x:c r="A38" s="16" t="n">
        <x:v>46175.729166666664</x:v>
      </x:c>
      <x:c r="B38" s="17" t="str">
        <x:v>production</x:v>
      </x:c>
      <x:c r="C38" s="18" t="n">
        <x:v>1362.5</x:v>
      </x:c>
      <x:c r="D38" s="18" t="n">
        <x:v>103.5</x:v>
      </x:c>
      <x:c r="E38" s="18" t="n">
        <x:v>61.8</x:v>
      </x:c>
      <x:c r="F38" s="18" t="n">
        <x:v>51.5</x:v>
      </x:c>
      <x:c r="G38" s="18" t="n">
        <x:v>7.18</x:v>
      </x:c>
      <x:c r="H38" s="18" t="n">
        <x:v>6.92</x:v>
      </x:c>
      <x:c r="I38" s="18" t="n">
        <x:v>6.68</x:v>
      </x:c>
      <x:c r="J38" s="18" t="n">
        <x:v>6.55</x:v>
      </x:c>
      <x:c r="K38" s="17" t="str">
        <x:v>No</x:v>
      </x:c>
      <x:c r="L38" s="17" t="str">
        <x:v>Normal production sample</x:v>
      </x:c>
    </x:row>
    <x:row r="39">
      <x:c r="A39" s="16" t="n">
        <x:v>46175.75</x:v>
      </x:c>
      <x:c r="B39" s="17" t="str">
        <x:v>production</x:v>
      </x:c>
      <x:c r="C39" s="18" t="n">
        <x:v>1392.5</x:v>
      </x:c>
      <x:c r="D39" s="18" t="n">
        <x:v>105</x:v>
      </x:c>
      <x:c r="E39" s="18" t="n">
        <x:v>65.4</x:v>
      </x:c>
      <x:c r="F39" s="18" t="n">
        <x:v>54.5</x:v>
      </x:c>
      <x:c r="G39" s="18" t="n">
        <x:v>7.18</x:v>
      </x:c>
      <x:c r="H39" s="18" t="n">
        <x:v>6.92</x:v>
      </x:c>
      <x:c r="I39" s="18" t="n">
        <x:v>6.68</x:v>
      </x:c>
      <x:c r="J39" s="18" t="n">
        <x:v>6.55</x:v>
      </x:c>
      <x:c r="K39" s="17" t="str">
        <x:v>No</x:v>
      </x:c>
      <x:c r="L39" s="17" t="str">
        <x:v>Normal production sample</x:v>
      </x:c>
    </x:row>
    <x:row r="40">
      <x:c r="A40" s="16" t="n">
        <x:v>46175.770833333336</x:v>
      </x:c>
      <x:c r="B40" s="17" t="str">
        <x:v>production</x:v>
      </x:c>
      <x:c r="C40" s="18" t="n">
        <x:v>1372.5</x:v>
      </x:c>
      <x:c r="D40" s="18" t="n">
        <x:v>103.5</x:v>
      </x:c>
      <x:c r="E40" s="18" t="n">
        <x:v>63</x:v>
      </x:c>
      <x:c r="F40" s="18" t="n">
        <x:v>52.5</x:v>
      </x:c>
      <x:c r="G40" s="18" t="n">
        <x:v>7.18</x:v>
      </x:c>
      <x:c r="H40" s="18" t="n">
        <x:v>6.92</x:v>
      </x:c>
      <x:c r="I40" s="18" t="n">
        <x:v>6.68</x:v>
      </x:c>
      <x:c r="J40" s="18" t="n">
        <x:v>6.55</x:v>
      </x:c>
      <x:c r="K40" s="17" t="str">
        <x:v>No</x:v>
      </x:c>
      <x:c r="L40" s="17" t="str">
        <x:v>Normal production sample</x:v>
      </x:c>
    </x:row>
    <x:row r="41">
      <x:c r="A41" s="16" t="n">
        <x:v>46175.791666666664</x:v>
      </x:c>
      <x:c r="B41" s="17" t="str">
        <x:v>production</x:v>
      </x:c>
      <x:c r="C41" s="18" t="n">
        <x:v>1372.5</x:v>
      </x:c>
      <x:c r="D41" s="18" t="n">
        <x:v>103.5</x:v>
      </x:c>
      <x:c r="E41" s="18" t="n">
        <x:v>63</x:v>
      </x:c>
      <x:c r="F41" s="18" t="n">
        <x:v>52.5</x:v>
      </x:c>
      <x:c r="G41" s="18" t="n">
        <x:v>7.18</x:v>
      </x:c>
      <x:c r="H41" s="18" t="n">
        <x:v>6.92</x:v>
      </x:c>
      <x:c r="I41" s="18" t="n">
        <x:v>6.68</x:v>
      </x:c>
      <x:c r="J41" s="18" t="n">
        <x:v>6.55</x:v>
      </x:c>
      <x:c r="K41" s="17" t="str">
        <x:v>No</x:v>
      </x:c>
      <x:c r="L41" s="17" t="str">
        <x:v>Normal production sample</x:v>
      </x:c>
    </x:row>
    <x:row r="42">
      <x:c r="A42" s="16" t="n">
        <x:v>46175.8125</x:v>
      </x:c>
      <x:c r="B42" s="17" t="str">
        <x:v>production</x:v>
      </x:c>
      <x:c r="C42" s="18" t="n">
        <x:v>1372.5</x:v>
      </x:c>
      <x:c r="D42" s="18" t="n">
        <x:v>103.5</x:v>
      </x:c>
      <x:c r="E42" s="18" t="n">
        <x:v>63</x:v>
      </x:c>
      <x:c r="F42" s="18" t="n">
        <x:v>52.5</x:v>
      </x:c>
      <x:c r="G42" s="18" t="n">
        <x:v>7.18</x:v>
      </x:c>
      <x:c r="H42" s="18" t="n">
        <x:v>6.92</x:v>
      </x:c>
      <x:c r="I42" s="18" t="n">
        <x:v>6.68</x:v>
      </x:c>
      <x:c r="J42" s="18" t="n">
        <x:v>6.55</x:v>
      </x:c>
      <x:c r="K42" s="17" t="str">
        <x:v>No</x:v>
      </x:c>
      <x:c r="L42" s="17" t="str">
        <x:v>Normal production sample</x:v>
      </x:c>
    </x:row>
    <x:row r="43">
      <x:c r="A43" s="16" t="n">
        <x:v>46175.833333333336</x:v>
      </x:c>
      <x:c r="B43" s="17" t="str">
        <x:v>production</x:v>
      </x:c>
      <x:c r="C43" s="18" t="n">
        <x:v>1392.5</x:v>
      </x:c>
      <x:c r="D43" s="18" t="n">
        <x:v>105</x:v>
      </x:c>
      <x:c r="E43" s="18" t="n">
        <x:v>65.4</x:v>
      </x:c>
      <x:c r="F43" s="18" t="n">
        <x:v>54.5</x:v>
      </x:c>
      <x:c r="G43" s="18" t="n">
        <x:v>7.18</x:v>
      </x:c>
      <x:c r="H43" s="18" t="n">
        <x:v>6.92</x:v>
      </x:c>
      <x:c r="I43" s="18" t="n">
        <x:v>6.68</x:v>
      </x:c>
      <x:c r="J43" s="18" t="n">
        <x:v>6.55</x:v>
      </x:c>
      <x:c r="K43" s="17" t="str">
        <x:v>No</x:v>
      </x:c>
      <x:c r="L43" s="17" t="str">
        <x:v>Normal production sample</x:v>
      </x:c>
    </x:row>
    <x:row r="44">
      <x:c r="A44" s="16" t="n">
        <x:v>46175.854166666664</x:v>
      </x:c>
      <x:c r="B44" s="17" t="str">
        <x:v>production</x:v>
      </x:c>
      <x:c r="C44" s="18" t="n">
        <x:v>1372.5</x:v>
      </x:c>
      <x:c r="D44" s="18" t="n">
        <x:v>103.5</x:v>
      </x:c>
      <x:c r="E44" s="18" t="n">
        <x:v>63</x:v>
      </x:c>
      <x:c r="F44" s="18" t="n">
        <x:v>52.5</x:v>
      </x:c>
      <x:c r="G44" s="18" t="n">
        <x:v>7.18</x:v>
      </x:c>
      <x:c r="H44" s="18" t="n">
        <x:v>6.92</x:v>
      </x:c>
      <x:c r="I44" s="18" t="n">
        <x:v>6.68</x:v>
      </x:c>
      <x:c r="J44" s="18" t="n">
        <x:v>6.55</x:v>
      </x:c>
      <x:c r="K44" s="17" t="str">
        <x:v>No</x:v>
      </x:c>
      <x:c r="L44" s="17" t="str">
        <x:v>Normal production sample</x:v>
      </x:c>
    </x:row>
    <x:row r="45">
      <x:c r="A45" s="16" t="n">
        <x:v>46175.875</x:v>
      </x:c>
      <x:c r="B45" s="17" t="str">
        <x:v>production</x:v>
      </x:c>
      <x:c r="C45" s="18" t="n">
        <x:v>1372.5</x:v>
      </x:c>
      <x:c r="D45" s="18" t="n">
        <x:v>103.5</x:v>
      </x:c>
      <x:c r="E45" s="18" t="n">
        <x:v>63</x:v>
      </x:c>
      <x:c r="F45" s="18" t="n">
        <x:v>52.5</x:v>
      </x:c>
      <x:c r="G45" s="18" t="n">
        <x:v>7.18</x:v>
      </x:c>
      <x:c r="H45" s="18" t="n">
        <x:v>6.92</x:v>
      </x:c>
      <x:c r="I45" s="18" t="n">
        <x:v>6.68</x:v>
      </x:c>
      <x:c r="J45" s="18" t="n">
        <x:v>6.55</x:v>
      </x:c>
      <x:c r="K45" s="17" t="str">
        <x:v>No</x:v>
      </x:c>
      <x:c r="L45" s="17" t="str">
        <x:v>Normal production sample</x:v>
      </x:c>
    </x:row>
    <x:row r="46">
      <x:c r="A46" s="16" t="n">
        <x:v>46175.895833333336</x:v>
      </x:c>
      <x:c r="B46" s="17" t="str">
        <x:v>production</x:v>
      </x:c>
      <x:c r="C46" s="18" t="n">
        <x:v>1372.5</x:v>
      </x:c>
      <x:c r="D46" s="18" t="n">
        <x:v>103.5</x:v>
      </x:c>
      <x:c r="E46" s="18" t="n">
        <x:v>63</x:v>
      </x:c>
      <x:c r="F46" s="18" t="n">
        <x:v>52.5</x:v>
      </x:c>
      <x:c r="G46" s="18" t="n">
        <x:v>7.18</x:v>
      </x:c>
      <x:c r="H46" s="18" t="n">
        <x:v>6.92</x:v>
      </x:c>
      <x:c r="I46" s="18" t="n">
        <x:v>6.68</x:v>
      </x:c>
      <x:c r="J46" s="18" t="n">
        <x:v>6.55</x:v>
      </x:c>
      <x:c r="K46" s="17" t="str">
        <x:v>No</x:v>
      </x:c>
      <x:c r="L46" s="17" t="str">
        <x:v>Normal production sample</x:v>
      </x:c>
    </x:row>
    <x:row r="47">
      <x:c r="A47" s="16" t="n">
        <x:v>46175.916666666664</x:v>
      </x:c>
      <x:c r="B47" s="17" t="str">
        <x:v>low_load</x:v>
      </x:c>
      <x:c r="C47" s="18" t="n">
        <x:v>315</x:v>
      </x:c>
      <x:c r="D47" s="18" t="n">
        <x:v>83</x:v>
      </x:c>
      <x:c r="E47" s="18" t="n">
        <x:v>0</x:v>
      </x:c>
      <x:c r="F47" s="18" t="n">
        <x:v>0</x:v>
      </x:c>
      <x:c r="G47" s="18" t="n">
        <x:v>7.22</x:v>
      </x:c>
      <x:c r="H47" s="18" t="n">
        <x:v>7</x:v>
      </x:c>
      <x:c r="I47" s="18" t="n">
        <x:v>6.8</x:v>
      </x:c>
      <x:c r="J47" s="18" t="n">
        <x:v>6.68</x:v>
      </x:c>
      <x:c r="K47" s="17" t="str">
        <x:v>No</x:v>
      </x:c>
      <x:c r="L47" s="17" t="str">
        <x:v>Non-production combined leakage plus dryer purge</x:v>
      </x:c>
    </x:row>
    <x:row r="48">
      <x:c r="A48" s="16" t="n">
        <x:v>46175.9375</x:v>
      </x:c>
      <x:c r="B48" s="17" t="str">
        <x:v>low_load</x:v>
      </x:c>
      <x:c r="C48" s="18" t="n">
        <x:v>315</x:v>
      </x:c>
      <x:c r="D48" s="18" t="n">
        <x:v>83</x:v>
      </x:c>
      <x:c r="E48" s="18" t="n">
        <x:v>0</x:v>
      </x:c>
      <x:c r="F48" s="18" t="n">
        <x:v>0</x:v>
      </x:c>
      <x:c r="G48" s="18" t="n">
        <x:v>7.22</x:v>
      </x:c>
      <x:c r="H48" s="18" t="n">
        <x:v>7</x:v>
      </x:c>
      <x:c r="I48" s="18" t="n">
        <x:v>6.8</x:v>
      </x:c>
      <x:c r="J48" s="18" t="n">
        <x:v>6.68</x:v>
      </x:c>
      <x:c r="K48" s="17" t="str">
        <x:v>No</x:v>
      </x:c>
      <x:c r="L48" s="17" t="str">
        <x:v>Non-production combined leakage plus dryer purge</x:v>
      </x:c>
    </x:row>
    <x:row r="49">
      <x:c r="A49" s="16" t="n">
        <x:v>46175.958333333336</x:v>
      </x:c>
      <x:c r="B49" s="17" t="str">
        <x:v>low_load</x:v>
      </x:c>
      <x:c r="C49" s="18" t="n">
        <x:v>315</x:v>
      </x:c>
      <x:c r="D49" s="18" t="n">
        <x:v>83</x:v>
      </x:c>
      <x:c r="E49" s="18" t="n">
        <x:v>0</x:v>
      </x:c>
      <x:c r="F49" s="18" t="n">
        <x:v>0</x:v>
      </x:c>
      <x:c r="G49" s="18" t="n">
        <x:v>7.22</x:v>
      </x:c>
      <x:c r="H49" s="18" t="n">
        <x:v>7</x:v>
      </x:c>
      <x:c r="I49" s="18" t="n">
        <x:v>6.8</x:v>
      </x:c>
      <x:c r="J49" s="18" t="n">
        <x:v>6.68</x:v>
      </x:c>
      <x:c r="K49" s="17" t="str">
        <x:v>No</x:v>
      </x:c>
      <x:c r="L49" s="17" t="str">
        <x:v>Non-production combined leakage plus dryer purge</x:v>
      </x:c>
    </x:row>
    <x:row r="50">
      <x:c r="A50" s="16" t="n">
        <x:v>46175.979166666664</x:v>
      </x:c>
      <x:c r="B50" s="17" t="str">
        <x:v>low_load</x:v>
      </x:c>
      <x:c r="C50" s="18" t="n">
        <x:v>315</x:v>
      </x:c>
      <x:c r="D50" s="18" t="n">
        <x:v>83</x:v>
      </x:c>
      <x:c r="E50" s="18" t="n">
        <x:v>0</x:v>
      </x:c>
      <x:c r="F50" s="18" t="n">
        <x:v>0</x:v>
      </x:c>
      <x:c r="G50" s="18" t="n">
        <x:v>7.22</x:v>
      </x:c>
      <x:c r="H50" s="18" t="n">
        <x:v>7</x:v>
      </x:c>
      <x:c r="I50" s="18" t="n">
        <x:v>6.8</x:v>
      </x:c>
      <x:c r="J50" s="18" t="n">
        <x:v>6.68</x:v>
      </x:c>
      <x:c r="K50" s="17" t="str">
        <x:v>No</x:v>
      </x:c>
      <x:c r="L50" s="17" t="str">
        <x:v>Non-production combined leakage plus dryer purge</x:v>
      </x:c>
    </x:row>
  </x:sheetData>
  <x:pageMargins left="0.7" right="0.7" top="0.75" bottom="0.75" header="0.3" footer="0.3"/>
  <x:tableParts count="1">
    <x:tablePart xmlns:r="http://schemas.openxmlformats.org/officeDocument/2006/relationships" r:id="Re10949ded7fe43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18" hidden="0" customWidth="1"/>
    <x:col min="4" max="4" width="62" hidden="0" customWidth="1"/>
  </x:cols>
  <x:sheetData>
    <x:row r="1" ht="34" customHeight="1">
      <x:c r="A1" s="10" t="str">
        <x:v>tag_name</x:v>
      </x:c>
      <x:c r="B1" s="10" t="str">
        <x:v>historian_definition</x:v>
      </x:c>
      <x:c r="C1" s="10" t="str">
        <x:v>status</x:v>
      </x:c>
      <x:c r="D1" s="10" t="str">
        <x:v>required_treatment</x:v>
      </x:c>
    </x:row>
    <x:row r="2">
      <x:c r="A2" s="17" t="str">
        <x:v>FT201_hist_nm3_h</x:v>
      </x:c>
      <x:c r="B2" s="17" t="str">
        <x:v>FT-201 exported using 0-1,800 Nm3/h configured range</x:v>
      </x:c>
      <x:c r="C2" s="17" t="str">
        <x:v>STALE SCALING</x:v>
      </x:c>
      <x:c r="D2" s="17" t="str">
        <x:v>Correct using the transmitter calibration workbook before using demand values.</x:v>
      </x:c>
    </x:row>
    <x:row r="3">
      <x:c r="A3" s="17" t="str">
        <x:v>C101_kW</x:v>
      </x:c>
      <x:c r="B3" s="17" t="str">
        <x:v>Direct compressor panel electrical kW export</x:v>
      </x:c>
      <x:c r="C3" s="17" t="str">
        <x:v>USE</x:v>
      </x:c>
      <x:c r="D3" s="17" t="str">
        <x:v>Use for baseline power modelling.</x:v>
      </x:c>
    </x:row>
    <x:row r="4">
      <x:c r="A4" s="17" t="str">
        <x:v>C102_calc_kW_legacy</x:v>
      </x:c>
      <x:c r="B4" s="17" t="str">
        <x:v>Derived value: C102 load percentage multiplied by legacy 90 kW asset-register motor rating</x:v>
      </x:c>
      <x:c r="C4" s="17" t="str">
        <x:v>REJECT</x:v>
      </x:c>
      <x:c r="D4" s="17" t="str">
        <x:v>Installed C-102 motor is 75 kW and direct drive meter is available.</x:v>
      </x:c>
    </x:row>
    <x:row r="5">
      <x:c r="A5" s="17" t="str">
        <x:v>C102_drive_kW</x:v>
      </x:c>
      <x:c r="B5" s="17" t="str">
        <x:v>Direct VSD panel kW export</x:v>
      </x:c>
      <x:c r="C5" s="17" t="str">
        <x:v>USE</x:v>
      </x:c>
      <x:c r="D5" s="17" t="str">
        <x:v>Use as the defensible C-102 power source.</x:v>
      </x:c>
    </x:row>
    <x:row r="6">
      <x:c r="A6" s="17" t="str">
        <x:v>PT401_header_bar_g</x:v>
      </x:c>
      <x:c r="B6" s="17" t="str">
        <x:v>Receiver discharge header pressure at compressor room</x:v>
      </x:c>
      <x:c r="C6" s="17" t="str">
        <x:v>USE WITH SCOPE LIMIT</x:v>
      </x:c>
      <x:c r="D6" s="17" t="str">
        <x:v>Not a substitute for critical point-of-use pressure.</x:v>
      </x:c>
    </x:row>
    <x:row r="7">
      <x:c r="A7" s="17" t="str">
        <x:v>PT404_pack_poi_bar_g</x:v>
      </x:c>
      <x:c r="B7" s="17" t="str">
        <x:v>Packaging manifold point-of-use pressure</x:v>
      </x:c>
      <x:c r="C7" s="17" t="str">
        <x:v>USE</x:v>
      </x:c>
      <x:c r="D7" s="17" t="str">
        <x:v>Use for packaging-hall compliance.</x:v>
      </x:c>
    </x:row>
  </x:sheetData>
  <x:pageMargins left="0.7" right="0.7" top="0.75" bottom="0.75" header="0.3" footer="0.3"/>
  <x:tableParts count="1">
    <x:tablePart xmlns:r="http://schemas.openxmlformats.org/officeDocument/2006/relationships" r:id="Ra4dae23dec8148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3" hidden="0" customWidth="1"/>
    <x:col min="5" max="5" width="68" hidden="0" customWidth="1"/>
    <x:col min="6" max="6" width="27" hidden="0" customWidth="1"/>
    <x:col min="7" max="7" width="18" hidden="0" customWidth="1"/>
    <x:col min="8" max="8" width="48" hidden="0" customWidth="1"/>
  </x:cols>
  <x:sheetData>
    <x:row r="1" ht="34" customHeight="1">
      <x:c r="A1" s="10" t="str">
        <x:v>operating_state</x:v>
      </x:c>
      <x:c r="B1" s="10" t="str">
        <x:v>annual_hours</x:v>
      </x:c>
      <x:c r="C1" s="10" t="str">
        <x:v>baseline_total_kW</x:v>
      </x:c>
      <x:c r="D1" s="10" t="str">
        <x:v>post_service_option_B_kW</x:v>
      </x:c>
      <x:c r="E1" s="10" t="str">
        <x:v>basis_note</x:v>
      </x:c>
      <x:c r="F1" s="10" t="str">
        <x:v>metric</x:v>
      </x:c>
      <x:c r="G1" s="10" t="str">
        <x:v>formula</x:v>
      </x:c>
      <x:c r="H1" s="10" t="str">
        <x:v>note</x:v>
      </x:c>
    </x:row>
    <x:row r="2">
      <x:c r="A2" s="17" t="str">
        <x:v>production</x:v>
      </x:c>
      <x:c r="B2" s="18" t="n">
        <x:v>5760</x:v>
      </x:c>
      <x:c r="C2" s="18" t="n">
        <x:v>156</x:v>
      </x:c>
      <x:c r="D2" s="18" t="n">
        <x:v>140</x:v>
      </x:c>
      <x:c r="E2" s="17" t="str">
        <x:v>Representative corrected power basis: C-101 direct kW plus C-102 direct drive kW. Post-service scenario reflects lower pressure drop and reduced cycling.</x:v>
      </x:c>
      <x:c r="F2" s="17" t="str">
        <x:v>Baseline annual kWh</x:v>
      </x:c>
      <x:c r="G2" s="26" t="n">
        <x:f>SUMPRODUCT(B2:B4,C2:C4)</x:f>
        <x:v>1028040</x:v>
      </x:c>
      <x:c r="H2" s="17" t="str">
        <x:v>Use current defensible power basis.</x:v>
      </x:c>
    </x:row>
    <x:row r="3">
      <x:c r="A3" s="17" t="str">
        <x:v>low_load</x:v>
      </x:c>
      <x:c r="B3" s="18" t="n">
        <x:v>1560</x:v>
      </x:c>
      <x:c r="C3" s="18" t="n">
        <x:v>83</x:v>
      </x:c>
      <x:c r="D3" s="18" t="n">
        <x:v>65</x:v>
      </x:c>
      <x:c r="E3" s="17" t="str">
        <x:v>Non-production operation; baseline includes combined leakage and purge losses. Post-service scenario reflects leak repair and purge correction allowance.</x:v>
      </x:c>
      <x:c r="F3" s="17" t="str">
        <x:v>Option B annual kWh</x:v>
      </x:c>
      <x:c r="G3" s="26" t="n">
        <x:f>SUMPRODUCT(B2:B4,D2:D4)</x:f>
        <x:v>907800</x:v>
      </x:c>
      <x:c r="H3" s="17" t="str">
        <x:v>Screening estimate after service, controls integration, and leak/purge correction.</x:v>
      </x:c>
    </x:row>
    <x:row r="4">
      <x:c r="A4" s="17" t="str">
        <x:v>off</x:v>
      </x:c>
      <x:c r="B4" s="18" t="n">
        <x:v>1440</x:v>
      </x:c>
      <x:c r="C4" s="18" t="n">
        <x:v>0</x:v>
      </x:c>
      <x:c r="D4" s="18" t="n">
        <x:v>0</x:v>
      </x:c>
      <x:c r="E4" s="17" t="str">
        <x:v>Plant air system off.</x:v>
      </x:c>
      <x:c r="F4" s="17" t="str">
        <x:v>Option B annual kWh saving</x:v>
      </x:c>
      <x:c r="G4" s="26" t="n">
        <x:f>G2-G3</x:f>
        <x:v>120240</x:v>
      </x:c>
      <x:c r="H4" s="17" t="str">
        <x:v>Derived saving.</x:v>
      </x:c>
    </x:row>
    <x:row r="5">
      <x:c r="A5" s="17"/>
      <x:c r="B5" s="17"/>
      <x:c r="C5" s="17"/>
      <x:c r="D5" s="17"/>
      <x:c r="E5" s="17"/>
      <x:c r="F5" s="17" t="str">
        <x:v>Old draft tariff GBP/kWh</x:v>
      </x:c>
      <x:c r="G5" s="27" t="n">
        <x:v>0.112</x:v>
      </x:c>
      <x:c r="H5" s="17" t="str">
        <x:v>Superseded working-rate assumption; use signed tariff addendum.</x:v>
      </x:c>
    </x:row>
  </x:sheetData>
  <x:pageMargins left="0.7" right="0.7" top="0.75" bottom="0.75" header="0.3" footer="0.3"/>
  <x:tableParts count="1">
    <x:tablePart xmlns:r="http://schemas.openxmlformats.org/officeDocument/2006/relationships" r:id="R0903c8b7747844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18" hidden="0" customWidth="1"/>
    <x:col min="4" max="4" width="70" hidden="0" customWidth="1"/>
  </x:cols>
  <x:sheetData>
    <x:row r="1" ht="34" customHeight="1">
      <x:c r="A1" s="10" t="str">
        <x:v>field</x:v>
      </x:c>
      <x:c r="B1" s="10" t="str">
        <x:v>value</x:v>
      </x:c>
      <x:c r="C1" s="10" t="str">
        <x:v>unit</x:v>
      </x:c>
      <x:c r="D1" s="10" t="str">
        <x:v>engineering_interpretation</x:v>
      </x:c>
    </x:row>
    <x:row r="2">
      <x:c r="A2" s="17" t="str">
        <x:v>event_timestamp</x:v>
      </x:c>
      <x:c r="B2" s="17" t="str">
        <x:v>2026-06-02 14:17:20</x:v>
      </x:c>
      <x:c r="C2" s="17" t="str"/>
      <x:c r="D2" s="17" t="str">
        <x:v>Credible packaging-hall event captured in logger export.</x:v>
      </x:c>
    </x:row>
    <x:row r="3">
      <x:c r="A3" s="17" t="str">
        <x:v>event_duration</x:v>
      </x:c>
      <x:c r="B3" s="17" t="n">
        <x:v>50</x:v>
      </x:c>
      <x:c r="C3" s="17" t="str">
        <x:v>s</x:v>
      </x:c>
      <x:c r="D3" s="17" t="str">
        <x:v>Use the production-pressure-requirements file as the approved duration source.</x:v>
      </x:c>
    </x:row>
    <x:row r="4">
      <x:c r="A4" s="17" t="str">
        <x:v>FT201_hist_flow</x:v>
      </x:c>
      <x:c r="B4" s="17" t="n">
        <x:v>1837.5</x:v>
      </x:c>
      <x:c r="C4" s="17" t="str">
        <x:v>Nm3/h exported</x:v>
      </x:c>
      <x:c r="D4" s="17" t="str">
        <x:v>Historian export requires correction using FT-201 calibration factor.</x:v>
      </x:c>
    </x:row>
    <x:row r="5">
      <x:c r="A5" s="17" t="str">
        <x:v>PT401_header_pressure</x:v>
      </x:c>
      <x:c r="B5" s="17" t="n">
        <x:v>6.95</x:v>
      </x:c>
      <x:c r="C5" s="17" t="str">
        <x:v>bar(g)</x:v>
      </x:c>
      <x:c r="D5" s="17" t="str">
        <x:v>Upstream compressor-room pressure.</x:v>
      </x:c>
    </x:row>
    <x:row r="6">
      <x:c r="A6" s="17" t="str">
        <x:v>dryer_filter_outlet_pressure</x:v>
      </x:c>
      <x:c r="B6" s="17" t="n">
        <x:v>6.6</x:v>
      </x:c>
      <x:c r="C6" s="17" t="str">
        <x:v>bar(g)</x:v>
      </x:c>
      <x:c r="D6" s="17" t="str">
        <x:v>As-found treatment drop is 0.35 bar.</x:v>
      </x:c>
    </x:row>
    <x:row r="7">
      <x:c r="A7" s="17" t="str">
        <x:v>hall_entry_pressure</x:v>
      </x:c>
      <x:c r="B7" s="17" t="n">
        <x:v>6.32</x:v>
      </x:c>
      <x:c r="C7" s="17" t="str">
        <x:v>bar(g)</x:v>
      </x:c>
      <x:c r="D7" s="17" t="str">
        <x:v>Distribution drop is 0.28 bar.</x:v>
      </x:c>
    </x:row>
    <x:row r="8">
      <x:c r="A8" s="17" t="str">
        <x:v>PT404_packaging_POI_pressure</x:v>
      </x:c>
      <x:c r="B8" s="17" t="n">
        <x:v>6.16</x:v>
      </x:c>
      <x:c r="C8" s="17" t="str">
        <x:v>bar(g)</x:v>
      </x:c>
      <x:c r="D8" s="17" t="str">
        <x:v>Below minimum packaging pressure requirement of 6.30 bar(g).</x:v>
      </x:c>
    </x:row>
    <x:row r="9">
      <x:c r="A9" s="17"/>
      <x:c r="B9" s="17"/>
      <x:c r="C9" s="17"/>
      <x:c r="D9" s="17"/>
    </x:row>
  </x:sheetData>
  <x:pageMargins left="0.7" right="0.7" top="0.75" bottom="0.75" header="0.3" footer="0.3"/>
  <x:tableParts count="1">
    <x:tablePart xmlns:r="http://schemas.openxmlformats.org/officeDocument/2006/relationships" r:id="R4f58a2f3b9d142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4" customHeight="1">
      <x:c r="A1" s="10" t="str">
        <x:v>Topic</x:v>
      </x:c>
      <x:c r="B1" s="10" t="str">
        <x:v>Instruction</x:v>
      </x:c>
    </x:row>
    <x:row r="2">
      <x:c r="A2" s="17" t="str">
        <x:v>Purpose</x:v>
      </x:c>
      <x:c r="B2" s="17" t="str">
        <x:v>This workbook is a source record, not the finished engineering model.</x:v>
      </x:c>
    </x:row>
    <x:row r="3">
      <x:c r="A3" s="17" t="str">
        <x:v>Flow scaling</x:v>
      </x:c>
      <x:c r="B3" s="17" t="str">
        <x:v>Do not treat FT201_hist_nm3_h as calibrated. Reconcile it against NCP4_flowmeter_calibration_and_isolation_test.xlsx.</x:v>
      </x:c>
    </x:row>
    <x:row r="4">
      <x:c r="A4" s="17" t="str">
        <x:v>C-102 power</x:v>
      </x:c>
      <x:c r="B4" s="17" t="str">
        <x:v>Do not use C102_calc_kW_legacy. It is deliberately retained to expose a stale calculation path.</x:v>
      </x:c>
    </x:row>
    <x:row r="5">
      <x:c r="A5" s="17" t="str">
        <x:v>Pressure</x:v>
      </x:c>
      <x:c r="B5" s="17" t="str">
        <x:v>Judge packaging compliance using PT404_pack_poi_bar_g, not PT401_header_bar_g.</x:v>
      </x:c>
    </x:row>
    <x:row r="6">
      <x:c r="A6" s="17" t="str">
        <x:v>Annualization</x:v>
      </x:c>
      <x:c r="B6" s="17" t="str">
        <x:v>Use the signed tariff addendum rather than the superseded draft tariff shown in Annualization_Basis.</x:v>
      </x:c>
    </x:row>
  </x:sheetData>
  <x:pageMargins left="0.7" right="0.7" top="0.75" bottom="0.75" header="0.3" footer="0.3"/>
  <x:tableParts count="1">
    <x:tablePart xmlns:r="http://schemas.openxmlformats.org/officeDocument/2006/relationships" r:id="R8ae64efa73994047"/>
  </x:tableParts>
</x:worksheet>
</file>