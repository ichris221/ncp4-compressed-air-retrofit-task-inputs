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4c25a5408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essor_Curves" sheetId="1" r:id="R841607f0e8294baf"/>
    <x:sheet xmlns:r="http://schemas.openxmlformats.org/officeDocument/2006/relationships" name="Treatment_and_Distribution_DP" sheetId="2" r:id="Re1b75a2c73a24595"/>
    <x:sheet xmlns:r="http://schemas.openxmlformats.org/officeDocument/2006/relationships" name="Receiver_Storage_Method" sheetId="3" r:id="R5c0adef162bd4a9a"/>
    <x:sheet xmlns:r="http://schemas.openxmlformats.org/officeDocument/2006/relationships" name="Curve_Use_Notes" sheetId="4" r:id="R1b11e03a56cf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93a5480ba48d4" /><Relationship Type="http://schemas.openxmlformats.org/officeDocument/2006/relationships/theme" Target="/xl/theme/theme1.xml" Id="R66de5b7821f44ad4" /><Relationship Type="http://schemas.openxmlformats.org/officeDocument/2006/relationships/sharedStrings" Target="/xl/sharedStrings.xml" Id="R079fd0e5560b45c8" /><Relationship Type="http://schemas.openxmlformats.org/officeDocument/2006/relationships/worksheet" Target="/xl/worksheets/sheet1.xml" Id="R841607f0e8294baf" /><Relationship Type="http://schemas.openxmlformats.org/officeDocument/2006/relationships/worksheet" Target="/xl/worksheets/sheet2.xml" Id="Re1b75a2c73a24595" /><Relationship Type="http://schemas.openxmlformats.org/officeDocument/2006/relationships/worksheet" Target="/xl/worksheets/sheet3.xml" Id="R5c0adef162bd4a9a" /><Relationship Type="http://schemas.openxmlformats.org/officeDocument/2006/relationships/worksheet" Target="/xl/worksheets/sheet4.xml" Id="R1b11e03a56cf4163" /></Relationships>
</file>

<file path=xl/tables/table1.xml><?xml version="1.0" encoding="utf-8"?>
<x:table xmlns:x="http://schemas.openxmlformats.org/spreadsheetml/2006/main" id="1" name="CompressorCurveTable" displayName="CompressorCurveTable" ref="A1:F8" headerRowCount="1">
  <x:tableColumns count="6">
    <x:tableColumn id="1" name="asset_id"/>
    <x:tableColumn id="2" name="configuration"/>
    <x:tableColumn id="3" name="flow_nm3_h"/>
    <x:tableColumn id="4" name="electrical_kw"/>
    <x:tableColumn id="5" name="use_scope"/>
    <x:tableColumn id="6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PressureDropTable" displayName="PressureDropTable" ref="A1:G3" headerRowCount="1">
  <x:tableColumns count="7">
    <x:tableColumn id="1" name="scenario"/>
    <x:tableColumn id="2" name="flow_basis_nm3_h"/>
    <x:tableColumn id="3" name="dryer_filter_dp_bar"/>
    <x:tableColumn id="4" name="distribution_dp_bar"/>
    <x:tableColumn id="5" name="local_branch_regulator_dp_bar"/>
    <x:tableColumn id="6" name="total_downstream_dp_bar"/>
    <x:tableColumn id="7" name="engineering_use"/>
  </x:tableColumns>
  <x:tableStyleInfo name="TableStyleMedium2" showRowStripes="1"/>
</x:table>
</file>

<file path=xl/tables/table3.xml><?xml version="1.0" encoding="utf-8"?>
<x:table xmlns:x="http://schemas.openxmlformats.org/spreadsheetml/2006/main" id="3" name="StorageMethodTable" displayName="StorageMethodTable" ref="A1:D9" headerRowCount="1">
  <x:tableColumns count="4">
    <x:tableColumn id="1" name="parameter"/>
    <x:tableColumn id="2" name="value"/>
    <x:tableColumn id="3" name="unit"/>
    <x:tableColumn id="4" name="engineering_note"/>
  </x:tableColumns>
  <x:tableStyleInfo name="TableStyleMedium2" showRowStripes="1"/>
</x:table>
</file>

<file path=xl/tables/table4.xml><?xml version="1.0" encoding="utf-8"?>
<x:table xmlns:x="http://schemas.openxmlformats.org/spreadsheetml/2006/main" id="4" name="CurveNotesTable" displayName="CurveNotesTable" ref="A1:B6" headerRowCount="1">
  <x:tableColumns count="2">
    <x:tableColumn id="1" name="Topic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88d1aa152a47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3518f53e0e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a73164362044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58d431a3724b0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6" hidden="0" customWidth="1"/>
    <x:col min="4" max="4" width="16" hidden="0" customWidth="1"/>
    <x:col min="5" max="5" width="21" hidden="0" customWidth="1"/>
    <x:col min="6" max="6" width="65" hidden="0" customWidth="1"/>
  </x:cols>
  <x:sheetData>
    <x:row r="1" ht="34" customHeight="1">
      <x:c r="A1" s="10" t="str">
        <x:v>asset_id</x:v>
      </x:c>
      <x:c r="B1" s="10" t="str">
        <x:v>configuration</x:v>
      </x:c>
      <x:c r="C1" s="10" t="str">
        <x:v>flow_nm3_h</x:v>
      </x:c>
      <x:c r="D1" s="10" t="str">
        <x:v>electrical_kw</x:v>
      </x:c>
      <x:c r="E1" s="10" t="str">
        <x:v>use_scope</x:v>
      </x:c>
      <x:c r="F1" s="10" t="str">
        <x:v>note</x:v>
      </x:c>
    </x:row>
    <x:row r="2">
      <x:c r="A2" s="12" t="str">
        <x:v>C-101</x:v>
      </x:c>
      <x:c r="B2" s="12" t="str">
        <x:v>110 kW fixed-speed loaded</x:v>
      </x:c>
      <x:c r="C2" s="12" t="n">
        <x:v>1550</x:v>
      </x:c>
      <x:c r="D2" s="12" t="n">
        <x:v>104</x:v>
      </x:c>
      <x:c r="E2" s="12" t="str">
        <x:v>current and screening</x:v>
      </x:c>
      <x:c r="F2" s="12" t="str">
        <x:v>Base-load loaded operating point.</x:v>
      </x:c>
    </x:row>
    <x:row r="3">
      <x:c r="A3" s="12" t="str">
        <x:v>C-101</x:v>
      </x:c>
      <x:c r="B3" s="12" t="str">
        <x:v>110 kW fixed-speed unloaded</x:v>
      </x:c>
      <x:c r="C3" s="12" t="n">
        <x:v>250</x:v>
      </x:c>
      <x:c r="D3" s="12" t="n">
        <x:v>68</x:v>
      </x:c>
      <x:c r="E3" s="12" t="str">
        <x:v>current and screening</x:v>
      </x:c>
      <x:c r="F3" s="12" t="str">
        <x:v>Unload cycling consumes material power.</x:v>
      </x:c>
    </x:row>
    <x:row r="4">
      <x:c r="A4" s="12" t="str">
        <x:v>C-102</x:v>
      </x:c>
      <x:c r="B4" s="12" t="str">
        <x:v>75 kW VSD trim</x:v>
      </x:c>
      <x:c r="C4" s="12" t="n">
        <x:v>500</x:v>
      </x:c>
      <x:c r="D4" s="12" t="n">
        <x:v>31</x:v>
      </x:c>
      <x:c r="E4" s="12" t="str">
        <x:v>current and screening</x:v>
      </x:c>
      <x:c r="F4" s="12" t="str">
        <x:v>Minimum stable trim flow.</x:v>
      </x:c>
    </x:row>
    <x:row r="5">
      <x:c r="A5" s="12" t="str">
        <x:v>C-102</x:v>
      </x:c>
      <x:c r="B5" s="12" t="str">
        <x:v>75 kW VSD trim</x:v>
      </x:c>
      <x:c r="C5" s="12" t="n">
        <x:v>700</x:v>
      </x:c>
      <x:c r="D5" s="12" t="n">
        <x:v>42</x:v>
      </x:c>
      <x:c r="E5" s="12" t="str">
        <x:v>current and screening</x:v>
      </x:c>
      <x:c r="F5" s="12" t="str">
        <x:v>Intermediate trim point.</x:v>
      </x:c>
    </x:row>
    <x:row r="6">
      <x:c r="A6" s="12" t="str">
        <x:v>C-102</x:v>
      </x:c>
      <x:c r="B6" s="12" t="str">
        <x:v>75 kW VSD trim</x:v>
      </x:c>
      <x:c r="C6" s="12" t="n">
        <x:v>900</x:v>
      </x:c>
      <x:c r="D6" s="12" t="n">
        <x:v>53</x:v>
      </x:c>
      <x:c r="E6" s="12" t="str">
        <x:v>current and screening</x:v>
      </x:c>
      <x:c r="F6" s="12" t="str">
        <x:v>Representative trim point.</x:v>
      </x:c>
    </x:row>
    <x:row r="7">
      <x:c r="A7" s="12" t="str">
        <x:v>C-102</x:v>
      </x:c>
      <x:c r="B7" s="12" t="str">
        <x:v>75 kW VSD trim</x:v>
      </x:c>
      <x:c r="C7" s="12" t="n">
        <x:v>1200</x:v>
      </x:c>
      <x:c r="D7" s="12" t="n">
        <x:v>69</x:v>
      </x:c>
      <x:c r="E7" s="12" t="str">
        <x:v>current and screening</x:v>
      </x:c>
      <x:c r="F7" s="12" t="str">
        <x:v>Maximum commissioned trim flow.</x:v>
      </x:c>
    </x:row>
    <x:row r="8">
      <x:c r="A8" s="12" t="str">
        <x:v>C-103</x:v>
      </x:c>
      <x:c r="B8" s="12" t="str">
        <x:v>110 kW fixed-speed loaded</x:v>
      </x:c>
      <x:c r="C8" s="12" t="n">
        <x:v>1550</x:v>
      </x:c>
      <x:c r="D8" s="12" t="n">
        <x:v>105</x:v>
      </x:c>
      <x:c r="E8" s="12" t="str">
        <x:v>REFERENCE ONLY</x:v>
      </x:c>
      <x:c r="F8" s="12" t="str">
        <x:v>Performance curve retained, but maintenance history makes unit unavailable.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a088d1aa152a47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9" hidden="0" customWidth="1"/>
    <x:col min="6" max="6" width="22" hidden="0" customWidth="1"/>
    <x:col min="7" max="7" width="70" hidden="0" customWidth="1"/>
  </x:cols>
  <x:sheetData>
    <x:row r="1" ht="34" customHeight="1">
      <x:c r="A1" s="10" t="str">
        <x:v>scenario</x:v>
      </x:c>
      <x:c r="B1" s="10" t="str">
        <x:v>flow_basis_nm3_h</x:v>
      </x:c>
      <x:c r="C1" s="10" t="str">
        <x:v>dryer_filter_dp_bar</x:v>
      </x:c>
      <x:c r="D1" s="10" t="str">
        <x:v>distribution_dp_bar</x:v>
      </x:c>
      <x:c r="E1" s="10" t="str">
        <x:v>local_branch_regulator_dp_bar</x:v>
      </x:c>
      <x:c r="F1" s="10" t="str">
        <x:v>total_downstream_dp_bar</x:v>
      </x:c>
      <x:c r="G1" s="10" t="str">
        <x:v>engineering_use</x:v>
      </x:c>
    </x:row>
    <x:row r="2">
      <x:c r="A2" s="12" t="str">
        <x:v>current_as_found_peak</x:v>
      </x:c>
      <x:c r="B2" s="16" t="n">
        <x:v>2450</x:v>
      </x:c>
      <x:c r="C2" s="16" t="n">
        <x:v>0.35</x:v>
      </x:c>
      <x:c r="D2" s="16" t="n">
        <x:v>0.28</x:v>
      </x:c>
      <x:c r="E2" s="16" t="n">
        <x:v>0.16</x:v>
      </x:c>
      <x:c r="F2" s="16" t="n">
        <x:f>C2+D2+E2</x:f>
        <x:v>0.79</x:v>
      </x:c>
      <x:c r="G2" s="12" t="str">
        <x:v>Use to reconstruct current packaging-hall pressure collapse.</x:v>
      </x:c>
    </x:row>
    <x:row r="3">
      <x:c r="A3" s="12" t="str">
        <x:v>post_service_peak</x:v>
      </x:c>
      <x:c r="B3" s="16" t="n">
        <x:v>2450</x:v>
      </x:c>
      <x:c r="C3" s="16" t="n">
        <x:v>0.18</x:v>
      </x:c>
      <x:c r="D3" s="16" t="n">
        <x:v>0.25</x:v>
      </x:c>
      <x:c r="E3" s="16" t="n">
        <x:v>0.12</x:v>
      </x:c>
      <x:c r="F3" s="16" t="n">
        <x:f>C3+D3+E3</x:f>
        <x:v>0.55</x:v>
      </x:c>
      <x:c r="G3" s="12" t="str">
        <x:v>Use for retrofit screening after maintenance and branch corrections.</x:v>
      </x:c>
    </x:row>
  </x:sheetData>
  <x:pageMargins left="0.7" right="0.7" top="0.75" bottom="0.75" header="0.3" footer="0.3"/>
  <x:tableParts count="1">
    <x:tablePart xmlns:r="http://schemas.openxmlformats.org/officeDocument/2006/relationships" r:id="R8b3518f53e0e41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100" hidden="0" customWidth="1"/>
  </x:cols>
  <x:sheetData>
    <x:row r="1" ht="34" customHeight="1">
      <x:c r="A1" s="10" t="str">
        <x:v>parameter</x:v>
      </x:c>
      <x:c r="B1" s="10" t="str">
        <x:v>value</x:v>
      </x:c>
      <x:c r="C1" s="10" t="str">
        <x:v>unit</x:v>
      </x:c>
      <x:c r="D1" s="10" t="str">
        <x:v>engineering_note</x:v>
      </x:c>
    </x:row>
    <x:row r="2">
      <x:c r="A2" s="12" t="str">
        <x:v>Packaging event incremental demand</x:v>
      </x:c>
      <x:c r="B2" s="16" t="n">
        <x:v>620</x:v>
      </x:c>
      <x:c r="C2" s="12" t="str">
        <x:v>Nm3/h</x:v>
      </x:c>
      <x:c r="D2" s="12" t="str">
        <x:v>Use approved production requirements.</x:v>
      </x:c>
    </x:row>
    <x:row r="3">
      <x:c r="A3" s="12" t="str">
        <x:v>Packaging event duration</x:v>
      </x:c>
      <x:c r="B3" s="16" t="n">
        <x:v>50</x:v>
      </x:c>
      <x:c r="C3" s="12" t="str">
        <x:v>s</x:v>
      </x:c>
      <x:c r="D3" s="12" t="str">
        <x:v>Use approved production requirements.</x:v>
      </x:c>
    </x:row>
    <x:row r="4">
      <x:c r="A4" s="12" t="str">
        <x:v>Atmospheric reference pressure</x:v>
      </x:c>
      <x:c r="B4" s="16" t="n">
        <x:v>1.013</x:v>
      </x:c>
      <x:c r="C4" s="12" t="str">
        <x:v>bar(abs)</x:v>
      </x:c>
      <x:c r="D4" s="12" t="str">
        <x:v>Use free-air reference pressure.</x:v>
      </x:c>
    </x:row>
    <x:row r="5">
      <x:c r="A5" s="12" t="str">
        <x:v>Approved receiver pressure high</x:v>
      </x:c>
      <x:c r="B5" s="16" t="n">
        <x:v>7.35</x:v>
      </x:c>
      <x:c r="C5" s="12" t="str">
        <x:v>bar(g)</x:v>
      </x:c>
      <x:c r="D5" s="12" t="str">
        <x:v>Screening high pressure.</x:v>
      </x:c>
    </x:row>
    <x:row r="6">
      <x:c r="A6" s="12" t="str">
        <x:v>Approved receiver pressure low</x:v>
      </x:c>
      <x:c r="B6" s="16" t="n">
        <x:v>6.9</x:v>
      </x:c>
      <x:c r="C6" s="12" t="str">
        <x:v>bar(g)</x:v>
      </x:c>
      <x:c r="D6" s="12" t="str">
        <x:v>Minimum receiver pressure preserving post-service point-of-use requirement.</x:v>
      </x:c>
    </x:row>
    <x:row r="7">
      <x:c r="A7" s="12" t="str">
        <x:v>Usable pressure differential</x:v>
      </x:c>
      <x:c r="B7" s="16" t="n">
        <x:f>B5-B6</x:f>
        <x:v>0.4499999999999993</x:v>
      </x:c>
      <x:c r="C7" s="12" t="str">
        <x:v>bar</x:v>
      </x:c>
      <x:c r="D7" s="12" t="str">
        <x:v>Difference between approved high and low receiver pressures.</x:v>
      </x:c>
    </x:row>
    <x:row r="8">
      <x:c r="A8" s="12" t="str">
        <x:v>Required receiver volume</x:v>
      </x:c>
      <x:c r="B8" s="16" t="n">
        <x:f>(B2/3600)*B3*B4/B7</x:f>
        <x:v>19.384567901234597</x:v>
      </x:c>
      <x:c r="C8" s="12" t="str">
        <x:v>m3</x:v>
      </x:c>
      <x:c r="D8" s="12" t="str">
        <x:v>Free-air storage relationship: V = Q*t*P_atm/(P_high_abs-P_low_abs). Gauge-pressure difference is numerically equivalent for the denominator.</x:v>
      </x:c>
    </x:row>
    <x:row r="9">
      <x:c r="A9" s="12" t="str">
        <x:v>Existing receiver volume</x:v>
      </x:c>
      <x:c r="B9" s="16" t="n">
        <x:v>6</x:v>
      </x:c>
      <x:c r="C9" s="12" t="str">
        <x:v>m3</x:v>
      </x:c>
      <x:c r="D9" s="12" t="str">
        <x:v>Existing V-401 geometric volume.</x:v>
      </x:c>
    </x:row>
  </x:sheetData>
  <x:pageMargins left="0.7" right="0.7" top="0.75" bottom="0.75" header="0.3" footer="0.3"/>
  <x:tableParts count="1">
    <x:tablePart xmlns:r="http://schemas.openxmlformats.org/officeDocument/2006/relationships" r:id="R63a73164362044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0" hidden="0" customWidth="1"/>
  </x:cols>
  <x:sheetData>
    <x:row r="1" ht="34" customHeight="1">
      <x:c r="A1" s="10" t="str">
        <x:v>Topic</x:v>
      </x:c>
      <x:c r="B1" s="10" t="str">
        <x:v>Instruction</x:v>
      </x:c>
    </x:row>
    <x:row r="2">
      <x:c r="A2" s="12" t="str">
        <x:v>C-103 curve</x:v>
      </x:c>
      <x:c r="B2" s="12" t="str">
        <x:v>Do not infer availability from the presence of a curve. Use maintenance history for availability.</x:v>
      </x:c>
    </x:row>
    <x:row r="3">
      <x:c r="A3" s="12" t="str">
        <x:v>Interpolation</x:v>
      </x:c>
      <x:c r="B3" s="12" t="str">
        <x:v>Linear interpolation between listed C-102 VSD trim points is acceptable for screening calculations.</x:v>
      </x:c>
    </x:row>
    <x:row r="4">
      <x:c r="A4" s="12" t="str">
        <x:v>Current pressure profile</x:v>
      </x:c>
      <x:c r="B4" s="12" t="str">
        <x:v>Use current_as_found_peak pressure drops for the baseline deficiency.</x:v>
      </x:c>
    </x:row>
    <x:row r="5">
      <x:c r="A5" s="12" t="str">
        <x:v>Post-retrofit pressure profile</x:v>
      </x:c>
      <x:c r="B5" s="12" t="str">
        <x:v>Use post_service_peak pressure drops only if the selected option includes dryer/filter service and branch correction.</x:v>
      </x:c>
    </x:row>
    <x:row r="6">
      <x:c r="A6" s="12" t="str">
        <x:v>Receiver storage</x:v>
      </x:c>
      <x:c r="B6" s="12" t="str">
        <x:v>Compare total installed geometric receiver capacity with the calculated required volume.</x:v>
      </x:c>
    </x:row>
  </x:sheetData>
  <x:pageMargins left="0.7" right="0.7" top="0.75" bottom="0.75" header="0.3" footer="0.3"/>
  <x:tableParts count="1">
    <x:tablePart xmlns:r="http://schemas.openxmlformats.org/officeDocument/2006/relationships" r:id="R6658d431a3724b07"/>
  </x:tableParts>
</x:worksheet>
</file>